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design_output\"/>
    </mc:Choice>
  </mc:AlternateContent>
  <xr:revisionPtr revIDLastSave="0" documentId="13_ncr:1_{AE7EBD15-C57E-429D-B611-6EEA3CBA5D41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10" r:id="rId2"/>
  </sheets>
  <functionGroups builtInGroupCount="19"/>
  <calcPr calcId="179017"/>
</workbook>
</file>

<file path=xl/calcChain.xml><?xml version="1.0" encoding="utf-8"?>
<calcChain xmlns="http://schemas.openxmlformats.org/spreadsheetml/2006/main">
  <c r="D6" i="10" l="1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5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A6" i="10"/>
  <c r="A7" i="10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/>
  <c r="A75" i="10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/>
  <c r="A209" i="10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6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 xml:space="preserve">日常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成就</t>
        </r>
      </text>
    </comment>
  </commentList>
</comments>
</file>

<file path=xl/sharedStrings.xml><?xml version="1.0" encoding="utf-8"?>
<sst xmlns="http://schemas.openxmlformats.org/spreadsheetml/2006/main" count="525" uniqueCount="399">
  <si>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</si>
  <si>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</si>
  <si>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</si>
  <si>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</si>
  <si>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</si>
  <si>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</si>
  <si>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</si>
  <si>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</si>
  <si>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</si>
  <si>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</si>
  <si>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</si>
  <si>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</si>
  <si>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</si>
  <si>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int</t>
  </si>
  <si>
    <t>activeid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</si>
  <si>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</si>
  <si>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</si>
  <si>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</si>
  <si>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</si>
  <si>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</si>
  <si>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</si>
  <si>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</si>
  <si>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</si>
  <si>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</si>
  <si>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</si>
  <si>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</si>
  <si>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</si>
  <si>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</si>
  <si>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</si>
  <si>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</si>
  <si>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</si>
  <si>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</si>
  <si>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7" type="noConversion"/>
  </si>
  <si>
    <t>19. 充值x钻石，如果是每日充值参数1填1</t>
    <phoneticPr fontId="7" type="noConversion"/>
  </si>
  <si>
    <t>20. 参与保卫女神x次</t>
    <phoneticPr fontId="7" type="noConversion"/>
  </si>
  <si>
    <t>21. 放养x次鱼</t>
    <phoneticPr fontId="7" type="noConversion"/>
  </si>
  <si>
    <t>22. 保卫女神最高闯过x关</t>
    <phoneticPr fontId="7" type="noConversion"/>
  </si>
  <si>
    <t>23. 宠物鱼总等级x级</t>
    <phoneticPr fontId="7" type="noConversion"/>
  </si>
  <si>
    <t>24. 解锁x个女神</t>
    <phoneticPr fontId="7" type="noConversion"/>
  </si>
  <si>
    <t>25. 在x小游戏中获得y分（0接金币，1河豚）</t>
    <phoneticPr fontId="7" type="noConversion"/>
  </si>
  <si>
    <t>26. 金币大于等于xx,金币排名小于等于x名</t>
    <phoneticPr fontId="7" type="noConversion"/>
  </si>
  <si>
    <t>27. 排位赛获得最强王者段位</t>
    <phoneticPr fontId="7" type="noConversion"/>
  </si>
  <si>
    <t>28. 排位赛获得x次胜利</t>
    <phoneticPr fontId="7" type="noConversion"/>
  </si>
  <si>
    <t>29. 排位赛段位大于等于x</t>
    <phoneticPr fontId="7" type="noConversion"/>
  </si>
  <si>
    <t>ALL</t>
    <phoneticPr fontId="7" type="noConversion"/>
  </si>
  <si>
    <t>int</t>
    <phoneticPr fontId="7" type="noConversion"/>
  </si>
  <si>
    <t>int</t>
    <phoneticPr fontId="6" type="noConversion"/>
  </si>
  <si>
    <t>任务ID</t>
    <phoneticPr fontId="6" type="noConversion"/>
  </si>
  <si>
    <t>所属天数</t>
    <phoneticPr fontId="6" type="noConversion"/>
  </si>
  <si>
    <t>condition</t>
    <phoneticPr fontId="6" type="noConversion"/>
  </si>
  <si>
    <t>value1</t>
    <phoneticPr fontId="6" type="noConversion"/>
  </si>
  <si>
    <t>value2</t>
    <phoneticPr fontId="6" type="noConversion"/>
  </si>
  <si>
    <t>name</t>
    <phoneticPr fontId="6" type="noConversion"/>
  </si>
  <si>
    <t>reward</t>
    <phoneticPr fontId="6" type="noConversion"/>
  </si>
  <si>
    <t>string</t>
    <phoneticPr fontId="6" type="noConversion"/>
  </si>
  <si>
    <t>任务名称</t>
    <phoneticPr fontId="6" type="noConversion"/>
  </si>
  <si>
    <t>条件类型</t>
    <phoneticPr fontId="6" type="noConversion"/>
  </si>
  <si>
    <t>条件参数</t>
    <phoneticPr fontId="6" type="noConversion"/>
  </si>
  <si>
    <t>条件值</t>
    <phoneticPr fontId="6" type="noConversion"/>
  </si>
  <si>
    <t>任务奖励</t>
    <phoneticPr fontId="6" type="noConversion"/>
  </si>
  <si>
    <t>table</t>
    <phoneticPr fontId="6" type="noConversion"/>
  </si>
  <si>
    <t>int</t>
    <phoneticPr fontId="6" type="noConversion"/>
  </si>
  <si>
    <t>0. 兑换x需要消耗y</t>
    <phoneticPr fontId="6" type="noConversion"/>
  </si>
  <si>
    <t>precondition</t>
    <phoneticPr fontId="6" type="noConversion"/>
  </si>
  <si>
    <t>后置任务</t>
    <phoneticPr fontId="6" type="noConversion"/>
  </si>
  <si>
    <t>opendays</t>
    <phoneticPr fontId="6" type="noConversion"/>
  </si>
  <si>
    <t>任务名备注</t>
    <phoneticPr fontId="6" type="noConversion"/>
  </si>
  <si>
    <t>第几天开启</t>
    <phoneticPr fontId="6" type="noConversion"/>
  </si>
  <si>
    <t>[["i001",1000]]</t>
  </si>
  <si>
    <t>[["i001",100000]]</t>
  </si>
  <si>
    <t>[["i012",60]]</t>
  </si>
  <si>
    <t>[["i003",100]]</t>
  </si>
  <si>
    <t>[["i007",600]]</t>
  </si>
  <si>
    <t>[["i013",60]]</t>
  </si>
  <si>
    <t>[["i230",20]]</t>
  </si>
  <si>
    <t>[["i230",1000]]</t>
  </si>
  <si>
    <t>[["i011",100]]</t>
  </si>
  <si>
    <t>[["w004",1]]</t>
  </si>
  <si>
    <t>[["w012",1]]</t>
  </si>
  <si>
    <t>[["i007",20]]</t>
  </si>
  <si>
    <t>[["i001",1000000]]</t>
  </si>
  <si>
    <t>[["i015",20]]</t>
  </si>
  <si>
    <t>[["i004",100]]</t>
  </si>
  <si>
    <t>[["i016",10]]</t>
  </si>
  <si>
    <t>[["i240",50]]</t>
  </si>
  <si>
    <t>[["i701",9]]</t>
  </si>
  <si>
    <t>[["i702",9]]</t>
  </si>
  <si>
    <t>[["i703",9]]</t>
  </si>
  <si>
    <t>[["i015",5]]</t>
  </si>
  <si>
    <t>[["i017",1]]</t>
  </si>
  <si>
    <t>[["i001",2000000]]</t>
  </si>
  <si>
    <t>[["i017",4]]</t>
  </si>
  <si>
    <t>连续登陆1天</t>
    <phoneticPr fontId="7" type="noConversion"/>
  </si>
  <si>
    <t>今日充值任意金额</t>
    <phoneticPr fontId="7" type="noConversion"/>
  </si>
  <si>
    <t>金币3折限时出售</t>
    <phoneticPr fontId="7" type="noConversion"/>
  </si>
  <si>
    <t>锁定3折限时出售</t>
    <phoneticPr fontId="7" type="noConversion"/>
  </si>
  <si>
    <t>捕获任意鱼1000条</t>
    <phoneticPr fontId="7" type="noConversion"/>
  </si>
  <si>
    <t>捕获任意鱼2000条</t>
    <phoneticPr fontId="7" type="noConversion"/>
  </si>
  <si>
    <t>捕获任意鱼3000条</t>
    <phoneticPr fontId="7" type="noConversion"/>
  </si>
  <si>
    <t>捕获任意鱼4000条</t>
    <phoneticPr fontId="7" type="noConversion"/>
  </si>
  <si>
    <t>捕获任意鱼6000条</t>
    <phoneticPr fontId="7" type="noConversion"/>
  </si>
  <si>
    <t>捕获任意鱼8000条</t>
    <phoneticPr fontId="7" type="noConversion"/>
  </si>
  <si>
    <t>捕获任意鱼10000条</t>
    <phoneticPr fontId="7" type="noConversion"/>
  </si>
  <si>
    <t>捕获任意鱼15000条</t>
    <phoneticPr fontId="7" type="noConversion"/>
  </si>
  <si>
    <t>捕获任意鱼20000条</t>
    <phoneticPr fontId="7" type="noConversion"/>
  </si>
  <si>
    <t>捕获任意鱼30000条</t>
    <phoneticPr fontId="7" type="noConversion"/>
  </si>
  <si>
    <t>捕获任意鱼40000条</t>
    <phoneticPr fontId="7" type="noConversion"/>
  </si>
  <si>
    <t>使用锁定10次</t>
  </si>
  <si>
    <t>使用锁定20次</t>
  </si>
  <si>
    <t>使用锁定30次</t>
  </si>
  <si>
    <t>使用锁定40次</t>
  </si>
  <si>
    <t>使用锁定60次</t>
  </si>
  <si>
    <t>使用锁定80次</t>
  </si>
  <si>
    <t>使用锁定100次</t>
  </si>
  <si>
    <t>使用锁定120次</t>
  </si>
  <si>
    <t>使用锁定140次</t>
  </si>
  <si>
    <t>使用锁定160次</t>
  </si>
  <si>
    <t>使用锁定200次</t>
  </si>
  <si>
    <t>等级达到12级</t>
    <phoneticPr fontId="7" type="noConversion"/>
  </si>
  <si>
    <t>等级达到15级</t>
    <phoneticPr fontId="7" type="noConversion"/>
  </si>
  <si>
    <t>等级达到18级</t>
    <phoneticPr fontId="7" type="noConversion"/>
  </si>
  <si>
    <t>等级达到21级</t>
    <phoneticPr fontId="7" type="noConversion"/>
  </si>
  <si>
    <t>等级达到24级</t>
  </si>
  <si>
    <t>等级达到26级</t>
    <phoneticPr fontId="7" type="noConversion"/>
  </si>
  <si>
    <t>等级达到28级</t>
    <phoneticPr fontId="7" type="noConversion"/>
  </si>
  <si>
    <t>等级达到30级</t>
  </si>
  <si>
    <t>连续登陆2天</t>
    <phoneticPr fontId="7" type="noConversion"/>
  </si>
  <si>
    <t>海洋之心5折限时出售</t>
    <phoneticPr fontId="7" type="noConversion"/>
  </si>
  <si>
    <t>召唤3折限时出售</t>
    <phoneticPr fontId="7" type="noConversion"/>
  </si>
  <si>
    <t>参与保卫女神1次</t>
    <phoneticPr fontId="7" type="noConversion"/>
  </si>
  <si>
    <t>参与保卫女神2次</t>
  </si>
  <si>
    <t>参与保卫女神4次</t>
    <phoneticPr fontId="7" type="noConversion"/>
  </si>
  <si>
    <t>参与保卫女神6次</t>
  </si>
  <si>
    <t>参与保卫女神8次</t>
  </si>
  <si>
    <t>参与保卫女神10次</t>
  </si>
  <si>
    <t>参与保卫女神12次</t>
  </si>
  <si>
    <t>参与保卫女神14次</t>
  </si>
  <si>
    <t>参与保卫女神16次</t>
  </si>
  <si>
    <t>武器倍率达到160倍</t>
    <phoneticPr fontId="7" type="noConversion"/>
  </si>
  <si>
    <t>武器倍率达到180倍</t>
    <phoneticPr fontId="7" type="noConversion"/>
  </si>
  <si>
    <t>武器倍率达到200倍</t>
    <phoneticPr fontId="7" type="noConversion"/>
  </si>
  <si>
    <t>武器倍率达到300倍</t>
    <phoneticPr fontId="7" type="noConversion"/>
  </si>
  <si>
    <t>武器倍率达到400倍</t>
  </si>
  <si>
    <t>武器倍率达到500倍</t>
  </si>
  <si>
    <t>武器倍率达到600倍</t>
  </si>
  <si>
    <t>武器倍率达到700倍</t>
  </si>
  <si>
    <t>武器倍率达到800倍</t>
  </si>
  <si>
    <t>武器倍率达到900倍</t>
  </si>
  <si>
    <t>武器倍率达到1000倍</t>
  </si>
  <si>
    <t>使用召唤10次</t>
  </si>
  <si>
    <t>使用召唤20次</t>
  </si>
  <si>
    <t>使用召唤30次</t>
  </si>
  <si>
    <t>使用召唤40次</t>
  </si>
  <si>
    <t>使用召唤60次</t>
  </si>
  <si>
    <t>使用召唤80次</t>
  </si>
  <si>
    <t>使用召唤100次</t>
  </si>
  <si>
    <t>使用召唤120次</t>
  </si>
  <si>
    <t>使用召唤140次</t>
  </si>
  <si>
    <t>使用召唤160次</t>
  </si>
  <si>
    <t>使用召唤200次</t>
  </si>
  <si>
    <t>连续登陆3天</t>
    <phoneticPr fontId="7" type="noConversion"/>
  </si>
  <si>
    <t>今日充值任意金额</t>
  </si>
  <si>
    <t>宠物鱼5折限时出售</t>
  </si>
  <si>
    <t>冰冻6折限时出售</t>
  </si>
  <si>
    <t>保卫女神通过20关</t>
  </si>
  <si>
    <t>保卫女神通过30关</t>
  </si>
  <si>
    <t>保卫女神通过40关</t>
  </si>
  <si>
    <t>保卫女神通过45关</t>
  </si>
  <si>
    <t>保卫女神通过50关</t>
  </si>
  <si>
    <t>保卫女神通过55关</t>
  </si>
  <si>
    <t>保卫女神通过60关</t>
  </si>
  <si>
    <t>保卫女神通过65关</t>
  </si>
  <si>
    <t>保卫女神通过70关</t>
  </si>
  <si>
    <t>水族馆鱼总等级达到10</t>
  </si>
  <si>
    <t>水族馆鱼总等级达到20</t>
  </si>
  <si>
    <t>水族馆鱼总等级达到30</t>
  </si>
  <si>
    <t>水族馆鱼总等级达到40</t>
  </si>
  <si>
    <t>水族馆鱼总等级达到60</t>
  </si>
  <si>
    <t>水族馆鱼总等级达到80</t>
  </si>
  <si>
    <t>水族馆鱼总等级达到100</t>
  </si>
  <si>
    <t>使用冰冻10次</t>
  </si>
  <si>
    <t>使用冰冻20次</t>
  </si>
  <si>
    <t>使用冰冻30次</t>
  </si>
  <si>
    <t>使用冰冻40次</t>
  </si>
  <si>
    <t>使用冰冻60次</t>
  </si>
  <si>
    <t>使用冰冻80次</t>
  </si>
  <si>
    <t>使用冰冻100次</t>
  </si>
  <si>
    <t>使用冰冻120次</t>
  </si>
  <si>
    <t>使用冰冻140次</t>
  </si>
  <si>
    <t>使用冰冻160次</t>
  </si>
  <si>
    <t>使用冰冻200次</t>
  </si>
  <si>
    <t>连续登陆4天</t>
    <phoneticPr fontId="7" type="noConversion"/>
  </si>
  <si>
    <t>皮肤5折限时出售</t>
    <phoneticPr fontId="7" type="noConversion"/>
  </si>
  <si>
    <t>在排位赛中胜利3次</t>
    <phoneticPr fontId="7" type="noConversion"/>
  </si>
  <si>
    <t>在排位赛中胜利6次</t>
    <phoneticPr fontId="7" type="noConversion"/>
  </si>
  <si>
    <t>在排位赛中胜利10次</t>
    <phoneticPr fontId="7" type="noConversion"/>
  </si>
  <si>
    <t>在排位赛中胜利20次</t>
    <phoneticPr fontId="7" type="noConversion"/>
  </si>
  <si>
    <t>在排位赛中胜利30次</t>
    <phoneticPr fontId="7" type="noConversion"/>
  </si>
  <si>
    <t>在排位赛中胜利40次</t>
  </si>
  <si>
    <t>在排位赛中胜利50次</t>
  </si>
  <si>
    <t>在排位赛中胜利60次</t>
  </si>
  <si>
    <t>在排位赛中胜利70次</t>
  </si>
  <si>
    <t>获得2个皮肤</t>
    <phoneticPr fontId="7" type="noConversion"/>
  </si>
  <si>
    <t>获得3个皮肤</t>
  </si>
  <si>
    <t>获得4个皮肤</t>
  </si>
  <si>
    <t>获得6个皮肤</t>
  </si>
  <si>
    <t>获得8个皮肤</t>
  </si>
  <si>
    <t>获得10个皮肤</t>
  </si>
  <si>
    <t>使用激光10次</t>
    <phoneticPr fontId="7" type="noConversion"/>
  </si>
  <si>
    <t>使用激光20次</t>
    <phoneticPr fontId="7" type="noConversion"/>
  </si>
  <si>
    <t>使用激光30次</t>
    <phoneticPr fontId="7" type="noConversion"/>
  </si>
  <si>
    <t>使用激光40次</t>
    <phoneticPr fontId="7" type="noConversion"/>
  </si>
  <si>
    <t>使用激光60次</t>
    <phoneticPr fontId="7" type="noConversion"/>
  </si>
  <si>
    <t>使用激光80次</t>
  </si>
  <si>
    <t>使用激光100次</t>
  </si>
  <si>
    <t>连续登陆5天</t>
    <phoneticPr fontId="7" type="noConversion"/>
  </si>
  <si>
    <t>青铜弹头5折限时出售</t>
    <phoneticPr fontId="7" type="noConversion"/>
  </si>
  <si>
    <t>拥有金币大于200000</t>
    <phoneticPr fontId="7" type="noConversion"/>
  </si>
  <si>
    <t>拥有金币大于500000</t>
    <phoneticPr fontId="7" type="noConversion"/>
  </si>
  <si>
    <t>拥有金币大于1000000</t>
    <phoneticPr fontId="7" type="noConversion"/>
  </si>
  <si>
    <t>拥有金币大于2000000</t>
    <phoneticPr fontId="7" type="noConversion"/>
  </si>
  <si>
    <t>拥有金币大于3000000</t>
    <phoneticPr fontId="7" type="noConversion"/>
  </si>
  <si>
    <t>拥有金币大于4000000</t>
    <phoneticPr fontId="7" type="noConversion"/>
  </si>
  <si>
    <t>拥有金币大于5000000</t>
    <phoneticPr fontId="7" type="noConversion"/>
  </si>
  <si>
    <t>拥有金币大于6000000</t>
    <phoneticPr fontId="7" type="noConversion"/>
  </si>
  <si>
    <t>拥有金币大于8000000</t>
    <phoneticPr fontId="7" type="noConversion"/>
  </si>
  <si>
    <t>排位赛段位达到白银5段</t>
    <phoneticPr fontId="7" type="noConversion"/>
  </si>
  <si>
    <t>排位赛段位达到白银1段</t>
    <phoneticPr fontId="7" type="noConversion"/>
  </si>
  <si>
    <t>排位赛段位达到黄金5段</t>
    <phoneticPr fontId="7" type="noConversion"/>
  </si>
  <si>
    <t>排位赛段位达到黄金1段</t>
  </si>
  <si>
    <t>排位赛段位达到白金5段</t>
  </si>
  <si>
    <t>排位赛段位达到白金3段</t>
  </si>
  <si>
    <t>排位赛段位达到白金1段</t>
  </si>
  <si>
    <t>排位赛段位达到钻石5段</t>
    <phoneticPr fontId="7" type="noConversion"/>
  </si>
  <si>
    <t>排位赛段位达到钻石4段</t>
    <phoneticPr fontId="7" type="noConversion"/>
  </si>
  <si>
    <t>排位赛段位达到钻石3段</t>
  </si>
  <si>
    <t>排位赛段位达到钻石2段</t>
  </si>
  <si>
    <t>排位赛段位达到钻石1段</t>
  </si>
  <si>
    <t>使用青铜弹头5次</t>
    <phoneticPr fontId="7" type="noConversion"/>
  </si>
  <si>
    <t>使用青铜弹头10次</t>
  </si>
  <si>
    <t>使用青铜弹头20次</t>
  </si>
  <si>
    <t>使用青铜弹头30次</t>
  </si>
  <si>
    <t>使用青铜弹头40次</t>
  </si>
  <si>
    <t>使用青铜弹头60次</t>
  </si>
  <si>
    <t>使用青铜弹头80次</t>
  </si>
  <si>
    <t>使用青铜弹头100次</t>
  </si>
  <si>
    <t>使用青铜弹头120次</t>
  </si>
  <si>
    <t>使用青铜弹头140次</t>
  </si>
  <si>
    <t>使用青铜弹头160次</t>
  </si>
  <si>
    <t>连续登陆6天</t>
    <phoneticPr fontId="7" type="noConversion"/>
  </si>
  <si>
    <t>抽奖卡4折限时出售</t>
    <phoneticPr fontId="7" type="noConversion"/>
  </si>
  <si>
    <t>白银弹头5折限时出售</t>
    <phoneticPr fontId="7" type="noConversion"/>
  </si>
  <si>
    <t>进行10次皮肤抽奖</t>
    <phoneticPr fontId="7" type="noConversion"/>
  </si>
  <si>
    <t>进行20次皮肤抽奖</t>
    <phoneticPr fontId="7" type="noConversion"/>
  </si>
  <si>
    <t>进行40次皮肤抽奖</t>
    <phoneticPr fontId="7" type="noConversion"/>
  </si>
  <si>
    <t>进行60次皮肤抽奖</t>
  </si>
  <si>
    <t>进行80次皮肤抽奖</t>
  </si>
  <si>
    <t>进行100次皮肤抽奖</t>
  </si>
  <si>
    <t>进行150次皮肤抽奖</t>
    <phoneticPr fontId="7" type="noConversion"/>
  </si>
  <si>
    <t>进行200次皮肤抽奖</t>
    <phoneticPr fontId="7" type="noConversion"/>
  </si>
  <si>
    <t>进行250次皮肤抽奖</t>
    <phoneticPr fontId="7" type="noConversion"/>
  </si>
  <si>
    <t>使用白银弹头1次</t>
  </si>
  <si>
    <t>使用白银弹头2次</t>
  </si>
  <si>
    <t>使用白银弹头4次</t>
  </si>
  <si>
    <t>使用白银弹头6次</t>
  </si>
  <si>
    <t>使用白银弹头8次</t>
  </si>
  <si>
    <t>使用白银弹头10次</t>
  </si>
  <si>
    <t>使用白银弹头12次</t>
  </si>
  <si>
    <t>使用白银弹头14次</t>
  </si>
  <si>
    <t>使用白银弹头16次</t>
  </si>
  <si>
    <t>使用白银弹头18次</t>
  </si>
  <si>
    <t>使用白银弹头20次</t>
  </si>
  <si>
    <t>连续登陆7天</t>
    <phoneticPr fontId="7" type="noConversion"/>
  </si>
  <si>
    <t>烈焰女神1折限时出售</t>
    <phoneticPr fontId="7" type="noConversion"/>
  </si>
  <si>
    <t>嫦娥女神4折限时出售</t>
    <phoneticPr fontId="7" type="noConversion"/>
  </si>
  <si>
    <t>累积消耗钻石500</t>
    <phoneticPr fontId="7" type="noConversion"/>
  </si>
  <si>
    <t>累积消耗钻石1000</t>
    <phoneticPr fontId="7" type="noConversion"/>
  </si>
  <si>
    <t>累积消耗钻石2000</t>
    <phoneticPr fontId="7" type="noConversion"/>
  </si>
  <si>
    <t>累积消耗钻石4000</t>
  </si>
  <si>
    <t>累积消耗钻石6000</t>
    <phoneticPr fontId="7" type="noConversion"/>
  </si>
  <si>
    <t>累积消耗钻石8000</t>
  </si>
  <si>
    <t>累积消耗钻石10000</t>
  </si>
  <si>
    <t>累积消耗钻石20000</t>
    <phoneticPr fontId="7" type="noConversion"/>
  </si>
  <si>
    <t>累积消耗钻石30000</t>
    <phoneticPr fontId="7" type="noConversion"/>
  </si>
  <si>
    <t>累积消耗钻石50000</t>
    <phoneticPr fontId="7" type="noConversion"/>
  </si>
  <si>
    <t>解锁2个女神</t>
    <phoneticPr fontId="7" type="noConversion"/>
  </si>
  <si>
    <t>解锁3个女神</t>
  </si>
  <si>
    <t>解锁4个女神</t>
  </si>
  <si>
    <t>连续登陆8天</t>
    <phoneticPr fontId="7" type="noConversion"/>
  </si>
  <si>
    <t>黄金弹头5折限时出售</t>
    <phoneticPr fontId="7" type="noConversion"/>
  </si>
  <si>
    <t>单次开炮获得金币50000</t>
    <phoneticPr fontId="7" type="noConversion"/>
  </si>
  <si>
    <t>单次开炮获得金币100000</t>
    <phoneticPr fontId="7" type="noConversion"/>
  </si>
  <si>
    <t>单次开炮获得金币150000</t>
    <phoneticPr fontId="7" type="noConversion"/>
  </si>
  <si>
    <t>单次开炮获得金币200000</t>
    <phoneticPr fontId="7" type="noConversion"/>
  </si>
  <si>
    <t>单次开炮获得金币250000</t>
    <phoneticPr fontId="7" type="noConversion"/>
  </si>
  <si>
    <t>单次开炮获得金币300000</t>
    <phoneticPr fontId="7" type="noConversion"/>
  </si>
  <si>
    <t>单次开炮获得金币500000</t>
    <phoneticPr fontId="7" type="noConversion"/>
  </si>
  <si>
    <t>单次开炮获得金币600000</t>
    <phoneticPr fontId="7" type="noConversion"/>
  </si>
  <si>
    <t>单次开炮获得金币700000</t>
    <phoneticPr fontId="7" type="noConversion"/>
  </si>
  <si>
    <t>单次开炮获得金币800000</t>
    <phoneticPr fontId="7" type="noConversion"/>
  </si>
  <si>
    <t>使用黄金弹头1次</t>
    <phoneticPr fontId="7" type="noConversion"/>
  </si>
  <si>
    <t>使用黄金弹头2次</t>
  </si>
  <si>
    <t>使用黄金弹头3次</t>
  </si>
  <si>
    <t>使用黄金弹头4次</t>
  </si>
  <si>
    <t>使用黄金弹头5次</t>
  </si>
  <si>
    <t>使用黄金弹头6次</t>
  </si>
  <si>
    <t>使用黄金弹头7次</t>
  </si>
  <si>
    <t>使用黄金弹头8次</t>
  </si>
  <si>
    <t>使用黄金弹头9次</t>
  </si>
  <si>
    <t>使用黄金弹头10次</t>
  </si>
  <si>
    <t>[["i007",10],["i012",10]]</t>
  </si>
  <si>
    <t>[["i007",2],["i012",2]]</t>
  </si>
  <si>
    <t>[["i007",3],["i012",3]]</t>
  </si>
  <si>
    <t>[["i007",4],["i012",4]]</t>
  </si>
  <si>
    <t>[["i007",5],["i012",5]]</t>
  </si>
  <si>
    <t>[["i006",1],["i007",2]]</t>
  </si>
  <si>
    <t>[["i006",1],["i007",4]]</t>
  </si>
  <si>
    <t>[["i400",1],["i012",1]]</t>
  </si>
  <si>
    <t>[["i400",2],["i012",2]]</t>
  </si>
  <si>
    <t>[["i400",3],["i012",3]]</t>
  </si>
  <si>
    <t>[["i400",4],["i012",4]]</t>
  </si>
  <si>
    <t>[["i002",50],["i013",10]]</t>
  </si>
  <si>
    <t>[["i001",1000],["i003",1]]</t>
  </si>
  <si>
    <t>[["i001",2000],["i003",2]]</t>
  </si>
  <si>
    <t>[["i001",3000],["i003",3]]</t>
  </si>
  <si>
    <t>[["i001",4000],["i003",4]]</t>
  </si>
  <si>
    <t>[["i001",5000],["i003",5]]</t>
  </si>
  <si>
    <t>[["i007",2],["i013",2]]</t>
  </si>
  <si>
    <t>[["i007",3],["i013",3]]</t>
  </si>
  <si>
    <t>[["i007",4],["i013",4]]</t>
  </si>
  <si>
    <t>[["i007",5],["i013",5]]</t>
  </si>
  <si>
    <t>[["i007",2],["i013",1]]</t>
  </si>
  <si>
    <t>[["i007",4],["i013",2]]</t>
  </si>
  <si>
    <t>[["i002",10],["i230",200]]</t>
  </si>
  <si>
    <t>[["i001",2000],["i230",2]]</t>
  </si>
  <si>
    <t>[["i001",5000],["i230",2]]</t>
  </si>
  <si>
    <t>[["i001",10000],["i230",3]]</t>
  </si>
  <si>
    <t>[["i001",20000],["i230",3]]</t>
  </si>
  <si>
    <t>[["i001",50000],["i230",4]]</t>
  </si>
  <si>
    <t>[["i001",100000],["i230",4]]</t>
  </si>
  <si>
    <t>[["i001",150000],["i230",5]]</t>
  </si>
  <si>
    <t>[["i001",200000],["i230",5]]</t>
  </si>
  <si>
    <t>[["i001",250000],["i230",5]]</t>
  </si>
  <si>
    <t>[["i007",2],["i230",20]]</t>
  </si>
  <si>
    <t>[["i007",4],["i230",40]]</t>
  </si>
  <si>
    <t>[["i002",1],["i230",10]]</t>
  </si>
  <si>
    <t>[["i002",2],["i230",20]]</t>
  </si>
  <si>
    <t>[["i002",4],["i230",40]]</t>
  </si>
  <si>
    <t>[["i002",50],["w005",1]]</t>
  </si>
  <si>
    <t>[["i007",2],["i230",2]]</t>
  </si>
  <si>
    <t>[["i007",3],["i230",3]]</t>
  </si>
  <si>
    <t>[["i007",5],["i230",5]]</t>
  </si>
  <si>
    <t>[["i001",5000],["i002",50]]</t>
  </si>
  <si>
    <t>[["i001",10000],["i002",100]]</t>
  </si>
  <si>
    <t>[["i001",15000],["i002",150]]</t>
  </si>
  <si>
    <t>[["i001",25000],["i002",250]]</t>
  </si>
  <si>
    <t>[["i001",35000],["i002",350]]</t>
  </si>
  <si>
    <t>[["i001",50000],["i002",500]]</t>
  </si>
  <si>
    <t>[["i002",1],["i007",2]]</t>
  </si>
  <si>
    <t>[["i002",2],["i007",3]]</t>
  </si>
  <si>
    <t>[["i002",3],["i007",4]]</t>
  </si>
  <si>
    <t>[["i002",4],["i007",5]]</t>
  </si>
  <si>
    <t>[["i002",5],["i007",6]]</t>
  </si>
  <si>
    <t>[["i002",6],["i007",8]]</t>
  </si>
  <si>
    <t>[["i002",8],["i007",10]]</t>
  </si>
  <si>
    <t>[["i002",50],["i015",1]]</t>
  </si>
  <si>
    <t>[["i007",2],["i230",5]]</t>
  </si>
  <si>
    <t>[["i007",4],["i230",10]]</t>
  </si>
  <si>
    <t>[["i007",6],["i230",15]]</t>
  </si>
  <si>
    <t>[["i007",8],["i230",20]]</t>
  </si>
  <si>
    <t>[["i007",10],["i230",25]]</t>
  </si>
  <si>
    <t>[["i007",12],["i230",30]]</t>
  </si>
  <si>
    <t>[["i007",14],["i230",35]]</t>
  </si>
  <si>
    <t>[["i007",16],["i230",40]]</t>
  </si>
  <si>
    <t>[["i007",18],["i230",50]]</t>
  </si>
  <si>
    <t>[["i002",1],["i004",1]]</t>
  </si>
  <si>
    <t>[["i002",2],["i004",1]]</t>
  </si>
  <si>
    <t>[["i002",3],["i004",1]]</t>
  </si>
  <si>
    <t>[["i002",4],["i004",2]]</t>
  </si>
  <si>
    <t>[["i007",5],["i230",10]]</t>
  </si>
  <si>
    <t>[["i007",10],["i230",20]]</t>
  </si>
  <si>
    <t>[["i007",20],["i230",40]]</t>
  </si>
  <si>
    <t>[["i002",20],["i004",10]]</t>
  </si>
  <si>
    <t>[["i001",10000],["i004",1]]</t>
  </si>
  <si>
    <t>[["i001",20000],["i004",2]]</t>
  </si>
  <si>
    <t>[["i001",50000],["i004",5]]</t>
  </si>
  <si>
    <t>[["i400",1],["i004",2]]</t>
  </si>
  <si>
    <t>[["i400",1],["i004",4]]</t>
  </si>
  <si>
    <t>[["i006",2],["i400",2]]</t>
  </si>
  <si>
    <t>[["i006",4],["i400",4]]</t>
  </si>
  <si>
    <t>[["i006",8],["i400",8]]</t>
  </si>
  <si>
    <t>[["i006",40],["i400",40]]</t>
  </si>
  <si>
    <t>[["i006",80],["i400",80]]</t>
  </si>
  <si>
    <t>[["i015",1],["i701",5]]</t>
  </si>
  <si>
    <t>[["i016",1],["i702",5]]</t>
  </si>
  <si>
    <t>[["i017",1],["i703",5]]</t>
  </si>
  <si>
    <t>[["i230",5],["i004",2]]</t>
  </si>
  <si>
    <t>[["i230",10],["i004",4]]</t>
  </si>
  <si>
    <t>[["i002",10],["i004",2]]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</si>
</sst>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10"/>
      <color theme="1"/>
      <name val="宋体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8">
    <xf numFmtId="0" fontId="0" fillId="0" borderId="0" xfId="0" applyAlignment="1"/>
    <xf numFmtId="0" fontId="0" fillId="0" borderId="0" xfId="0" applyFont="1">
      <alignment vertical="center"/>
    </xf>
    <xf numFmtId="0" fontId="0" fillId="0" borderId="0" xfId="0">
      <alignment vertical="center"/>
    </xf>
    <xf numFmtId="0" fontId="2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3" fillId="0" borderId="0" xfId="1" applyNumberFormat="1" applyAlignment="1"/>
    <xf numFmtId="0" fontId="3" fillId="0" borderId="0" xfId="0" applyFont="1">
      <alignment vertical="center"/>
    </xf>
    <xf numFmtId="0" fontId="3" fillId="0" borderId="0" xfId="1" applyAlignment="1"/>
    <xf numFmtId="0" fontId="2" fillId="6" borderId="0" xfId="0" applyFont="1" applyFill="1" applyAlignment="1">
      <alignment vertical="center" wrapText="1"/>
    </xf>
    <xf numFmtId="0" fontId="2" fillId="6" borderId="0" xfId="0" applyFont="1" applyFill="1" applyAlignment="1">
      <alignment vertical="center"/>
    </xf>
    <xf numFmtId="0" fontId="2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vertical="center"/>
    </xf>
    <xf numFmtId="0" fontId="3" fillId="0" borderId="0" xfId="0" applyFont="1" applyAlignment="1"/>
    <xf numFmtId="0" fontId="9" fillId="0" borderId="0" xfId="0" applyFont="1" applyAlignment="1">
      <alignment vertical="center"/>
    </xf>
    <xf numFmtId="0" fontId="10" fillId="0" borderId="0" xfId="0" applyFont="1" applyAlignment="1"/>
    <xf numFmtId="0" fontId="2" fillId="0" borderId="0" xfId="0" applyNumberFormat="1" applyFon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" xfId="1" xr:uid="{00000000-0005-0000-0000-000001000000}"/>
  </cellStyles>
  <dxfs count="8">
    <dxf>
      <font>
        <sz val="10"/>
        <family val="3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05D378B-8F34-411E-AFFD-7C0D837A2565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表6" displayName="表6" ref="A4:J231" totalsRowShown="0">
  <autoFilter ref="A4:J231" xr:uid="{00000000-0009-0000-0100-000006000000}"/>
  <tableColumns count="10">
    <tableColumn id="1" xr3:uid="{00000000-0010-0000-0500-000001000000}" name="任务ID">
      <calculatedColumnFormula>IF(B5&lt;&gt;B4,B5*10000,IF(OR(E5&lt;&gt;E4,E5=0),INT(A4/100)*100+100,A4+1))</calculatedColumnFormula>
    </tableColumn>
    <tableColumn id="2" xr3:uid="{00000000-0010-0000-0500-000002000000}" name="所属天数" dataDxfId="7"/>
    <tableColumn id="9" xr3:uid="{3A9A150C-5E39-4EF0-81CD-9D15E378C2EB}" name="后置任务" dataDxfId="6">
      <calculatedColumnFormula>IF(OR(E5&lt;&gt;E6,E5=0),0,A6)</calculatedColumnFormula>
    </tableColumn>
    <tableColumn id="7" xr3:uid="{D1A53178-C5E5-4F94-B3DA-711DBC221929}" name="任务名称" dataDxfId="5">
      <calculatedColumnFormula>"newbie_name_"&amp;表6[[#This Row],[任务ID]]</calculatedColumnFormula>
    </tableColumn>
    <tableColumn id="3" xr3:uid="{00000000-0010-0000-0500-000003000000}" name="条件类型" dataDxfId="4"/>
    <tableColumn id="4" xr3:uid="{00000000-0010-0000-0500-000004000000}" name="条件参数" dataDxfId="3"/>
    <tableColumn id="5" xr3:uid="{00000000-0010-0000-0500-000005000000}" name="条件值" dataDxfId="2"/>
    <tableColumn id="6" xr3:uid="{00000000-0010-0000-0500-000006000000}" name="任务奖励"/>
    <tableColumn id="8" xr3:uid="{B83D6053-ABFB-470A-AC8E-42A46CE18625}" name="第几天开启" dataDxfId="1"/>
    <tableColumn id="10" xr3:uid="{1B20AA2F-F738-4D85-8F48-77E2B1E0B761}" name="任务名备注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8" workbookViewId="0">
      <selection activeCell="B28" sqref="B28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5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25" t="s">
        <v>8</v>
      </c>
      <c r="B6" s="26"/>
    </row>
    <row r="7" spans="1:2" x14ac:dyDescent="0.15">
      <c r="A7" s="26"/>
      <c r="B7" s="26"/>
    </row>
    <row r="8" spans="1:2" x14ac:dyDescent="0.15">
      <c r="A8" s="26"/>
      <c r="B8" s="26"/>
    </row>
    <row r="9" spans="1:2" x14ac:dyDescent="0.15">
      <c r="A9" s="26"/>
      <c r="B9" s="26"/>
    </row>
    <row r="10" spans="1:2" x14ac:dyDescent="0.15">
      <c r="A10" s="26"/>
      <c r="B10" s="26"/>
    </row>
    <row r="11" spans="1:2" x14ac:dyDescent="0.15">
      <c r="A11" s="26"/>
      <c r="B11" s="26"/>
    </row>
    <row r="12" spans="1:2" x14ac:dyDescent="0.15">
      <c r="A12" s="26"/>
      <c r="B12" s="26"/>
    </row>
    <row r="13" spans="1:2" x14ac:dyDescent="0.15">
      <c r="A13" s="26"/>
      <c r="B13" s="26"/>
    </row>
    <row r="14" spans="1:2" x14ac:dyDescent="0.15">
      <c r="A14" s="26"/>
      <c r="B14" s="26"/>
    </row>
    <row r="15" spans="1:2" x14ac:dyDescent="0.15">
      <c r="A15" s="26"/>
      <c r="B15" s="26"/>
    </row>
    <row r="16" spans="1:2" ht="13.15" customHeight="1" x14ac:dyDescent="0.15">
      <c r="A16" s="26"/>
      <c r="B16" s="26"/>
    </row>
    <row r="17" spans="1:2" ht="4.1500000000000004" customHeight="1" x14ac:dyDescent="0.15">
      <c r="A17" s="26"/>
      <c r="B17" s="26"/>
    </row>
    <row r="18" spans="1:2" hidden="1" x14ac:dyDescent="0.15">
      <c r="A18" s="26"/>
      <c r="B18" s="26"/>
    </row>
    <row r="19" spans="1:2" hidden="1" x14ac:dyDescent="0.15">
      <c r="A19" s="26"/>
      <c r="B19" s="26"/>
    </row>
    <row r="20" spans="1:2" hidden="1" x14ac:dyDescent="0.15">
      <c r="A20" s="26"/>
      <c r="B20" s="26"/>
    </row>
    <row r="21" spans="1:2" ht="22.9" customHeight="1" x14ac:dyDescent="0.15">
      <c r="A21" s="26"/>
      <c r="B21" s="26"/>
    </row>
    <row r="22" spans="1:2" ht="45" customHeight="1" x14ac:dyDescent="0.15">
      <c r="A22" s="26"/>
      <c r="B22" s="26"/>
    </row>
    <row r="23" spans="1:2" ht="51" hidden="1" customHeight="1" x14ac:dyDescent="0.15">
      <c r="A23" s="26"/>
      <c r="B23" s="26"/>
    </row>
    <row r="24" spans="1:2" x14ac:dyDescent="0.15">
      <c r="A24" s="27" t="s">
        <v>9</v>
      </c>
      <c r="B24" s="27"/>
    </row>
    <row r="25" spans="1:2" x14ac:dyDescent="0.15">
      <c r="A25" s="27" t="s">
        <v>10</v>
      </c>
      <c r="B25" s="27"/>
    </row>
    <row r="26" spans="1:2" x14ac:dyDescent="0.15">
      <c r="A26" s="27" t="s">
        <v>11</v>
      </c>
      <c r="B26" s="27"/>
    </row>
    <row r="27" spans="1:2" x14ac:dyDescent="0.15">
      <c r="A27" s="8"/>
      <c r="B27" s="9" t="s">
        <v>62</v>
      </c>
    </row>
    <row r="28" spans="1:2" x14ac:dyDescent="0.15">
      <c r="A28" s="8"/>
      <c r="B28" s="9" t="s">
        <v>15</v>
      </c>
    </row>
    <row r="29" spans="1:2" x14ac:dyDescent="0.15">
      <c r="A29" s="8"/>
      <c r="B29" s="9" t="s">
        <v>16</v>
      </c>
    </row>
    <row r="30" spans="1:2" x14ac:dyDescent="0.15">
      <c r="A30" s="8"/>
      <c r="B30" s="9" t="s">
        <v>17</v>
      </c>
    </row>
    <row r="31" spans="1:2" x14ac:dyDescent="0.15">
      <c r="A31" s="8"/>
      <c r="B31" s="9" t="s">
        <v>18</v>
      </c>
    </row>
    <row r="32" spans="1:2" x14ac:dyDescent="0.15">
      <c r="A32" s="8"/>
      <c r="B32" s="9" t="s">
        <v>19</v>
      </c>
    </row>
    <row r="33" spans="1:2" x14ac:dyDescent="0.15">
      <c r="A33" s="8"/>
      <c r="B33" s="9" t="s">
        <v>20</v>
      </c>
    </row>
    <row r="34" spans="1:2" x14ac:dyDescent="0.15">
      <c r="A34" s="8"/>
      <c r="B34" s="9" t="s">
        <v>21</v>
      </c>
    </row>
    <row r="35" spans="1:2" x14ac:dyDescent="0.15">
      <c r="A35" s="8"/>
      <c r="B35" s="9" t="s">
        <v>22</v>
      </c>
    </row>
    <row r="36" spans="1:2" x14ac:dyDescent="0.15">
      <c r="A36" s="8"/>
      <c r="B36" s="9" t="s">
        <v>23</v>
      </c>
    </row>
    <row r="37" spans="1:2" x14ac:dyDescent="0.15">
      <c r="A37" s="8"/>
      <c r="B37" s="9" t="s">
        <v>24</v>
      </c>
    </row>
    <row r="38" spans="1:2" x14ac:dyDescent="0.15">
      <c r="A38" s="8"/>
      <c r="B38" s="9" t="s">
        <v>25</v>
      </c>
    </row>
    <row r="39" spans="1:2" x14ac:dyDescent="0.15">
      <c r="A39" s="8"/>
      <c r="B39" s="9" t="s">
        <v>26</v>
      </c>
    </row>
    <row r="40" spans="1:2" x14ac:dyDescent="0.15">
      <c r="A40" s="8"/>
      <c r="B40" s="9" t="s">
        <v>27</v>
      </c>
    </row>
    <row r="41" spans="1:2" x14ac:dyDescent="0.15">
      <c r="A41" s="8"/>
      <c r="B41" s="9" t="s">
        <v>28</v>
      </c>
    </row>
    <row r="42" spans="1:2" x14ac:dyDescent="0.15">
      <c r="A42" s="8"/>
      <c r="B42" s="9" t="s">
        <v>29</v>
      </c>
    </row>
    <row r="43" spans="1:2" x14ac:dyDescent="0.15">
      <c r="A43" s="8"/>
      <c r="B43" s="9" t="s">
        <v>30</v>
      </c>
    </row>
    <row r="44" spans="1:2" x14ac:dyDescent="0.15">
      <c r="A44" s="8"/>
      <c r="B44" s="9" t="s">
        <v>31</v>
      </c>
    </row>
    <row r="45" spans="1:2" x14ac:dyDescent="0.15">
      <c r="A45" s="8"/>
      <c r="B45" s="9" t="s">
        <v>32</v>
      </c>
    </row>
    <row r="46" spans="1:2" x14ac:dyDescent="0.15">
      <c r="B46" s="9" t="s">
        <v>33</v>
      </c>
    </row>
    <row r="47" spans="1:2" x14ac:dyDescent="0.15">
      <c r="B47" s="9" t="s">
        <v>34</v>
      </c>
    </row>
    <row r="48" spans="1:2" x14ac:dyDescent="0.15">
      <c r="B48" s="9" t="s">
        <v>35</v>
      </c>
    </row>
    <row r="49" spans="2:2" x14ac:dyDescent="0.15">
      <c r="B49" s="9" t="s">
        <v>36</v>
      </c>
    </row>
    <row r="50" spans="2:2" x14ac:dyDescent="0.15">
      <c r="B50" s="9" t="s">
        <v>37</v>
      </c>
    </row>
    <row r="51" spans="2:2" x14ac:dyDescent="0.15">
      <c r="B51" s="9" t="s">
        <v>38</v>
      </c>
    </row>
    <row r="52" spans="2:2" x14ac:dyDescent="0.15">
      <c r="B52" s="9" t="s">
        <v>39</v>
      </c>
    </row>
    <row r="53" spans="2:2" x14ac:dyDescent="0.15">
      <c r="B53" s="11" t="s">
        <v>40</v>
      </c>
    </row>
    <row r="54" spans="2:2" x14ac:dyDescent="0.15">
      <c r="B54" s="11" t="s">
        <v>41</v>
      </c>
    </row>
    <row r="55" spans="2:2" x14ac:dyDescent="0.15">
      <c r="B55" s="11" t="s">
        <v>42</v>
      </c>
    </row>
    <row r="56" spans="2:2" x14ac:dyDescent="0.15">
      <c r="B56" s="11" t="s">
        <v>43</v>
      </c>
    </row>
  </sheetData>
  <mergeCells count="4">
    <mergeCell ref="A6:B23"/>
    <mergeCell ref="A24:B24"/>
    <mergeCell ref="A25:B25"/>
    <mergeCell ref="A26:B26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C231"/>
  <sheetViews>
    <sheetView tabSelected="1" workbookViewId="0">
      <pane ySplit="4" topLeftCell="A140" activePane="bottomLeft" state="frozenSplit"/>
      <selection pane="bottomLeft" activeCell="H43" sqref="H43"/>
    </sheetView>
  </sheetViews>
  <sheetFormatPr defaultColWidth="9" defaultRowHeight="13.5" x14ac:dyDescent="0.15"/>
  <cols>
    <col min="1" max="1" width="10" customWidth="1"/>
    <col min="2" max="3" width="11.75" customWidth="1"/>
    <col min="4" max="4" width="17.125" bestFit="1" customWidth="1"/>
    <col min="5" max="6" width="11.75" bestFit="1" customWidth="1"/>
    <col min="7" max="7" width="11.75" customWidth="1"/>
    <col min="8" max="8" width="27.25" bestFit="1" customWidth="1"/>
    <col min="9" max="9" width="12.875" customWidth="1"/>
    <col min="10" max="10" width="13.875" bestFit="1" customWidth="1"/>
  </cols>
  <sheetData>
    <row r="1" spans="1:29" s="13" customFormat="1" ht="12" customHeight="1" x14ac:dyDescent="0.15">
      <c r="A1" s="12"/>
      <c r="B1" s="13" t="s">
        <v>44</v>
      </c>
      <c r="E1" s="12"/>
      <c r="Z1" s="14"/>
    </row>
    <row r="2" spans="1:29" s="17" customFormat="1" ht="12" customHeight="1" x14ac:dyDescent="0.15">
      <c r="A2" s="15" t="s">
        <v>12</v>
      </c>
      <c r="B2" s="16" t="s">
        <v>14</v>
      </c>
      <c r="C2" s="16" t="s">
        <v>63</v>
      </c>
      <c r="D2" s="16" t="s">
        <v>52</v>
      </c>
      <c r="E2" s="16" t="s">
        <v>49</v>
      </c>
      <c r="F2" s="16" t="s">
        <v>50</v>
      </c>
      <c r="G2" s="16" t="s">
        <v>51</v>
      </c>
      <c r="H2" s="16" t="s">
        <v>53</v>
      </c>
      <c r="I2" s="16" t="s">
        <v>65</v>
      </c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</row>
    <row r="3" spans="1:29" s="20" customFormat="1" ht="12" customHeight="1" x14ac:dyDescent="0.15">
      <c r="A3" s="18" t="s">
        <v>45</v>
      </c>
      <c r="B3" s="19" t="s">
        <v>46</v>
      </c>
      <c r="C3" s="19" t="s">
        <v>61</v>
      </c>
      <c r="D3" s="19" t="s">
        <v>54</v>
      </c>
      <c r="E3" s="19" t="s">
        <v>61</v>
      </c>
      <c r="F3" s="19" t="s">
        <v>61</v>
      </c>
      <c r="G3" s="19" t="s">
        <v>13</v>
      </c>
      <c r="H3" s="19" t="s">
        <v>60</v>
      </c>
      <c r="I3" s="19" t="s">
        <v>61</v>
      </c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</row>
    <row r="4" spans="1:29" x14ac:dyDescent="0.15">
      <c r="A4" s="10" t="s">
        <v>47</v>
      </c>
      <c r="B4" s="21" t="s">
        <v>48</v>
      </c>
      <c r="C4" s="21" t="s">
        <v>64</v>
      </c>
      <c r="D4" s="21" t="s">
        <v>55</v>
      </c>
      <c r="E4" s="10" t="s">
        <v>56</v>
      </c>
      <c r="F4" s="10" t="s">
        <v>57</v>
      </c>
      <c r="G4" s="10" t="s">
        <v>58</v>
      </c>
      <c r="H4" s="21" t="s">
        <v>59</v>
      </c>
      <c r="I4" s="21" t="s">
        <v>67</v>
      </c>
      <c r="J4" s="21" t="s">
        <v>66</v>
      </c>
    </row>
    <row r="5" spans="1:29" x14ac:dyDescent="0.15">
      <c r="A5" s="2">
        <f>IF(B5&lt;&gt;B4,B5*10000,IF(OR(E5&lt;&gt;E4,E5=0),INT(A4/100)*100+100,A4+1))</f>
        <v>10000</v>
      </c>
      <c r="B5" s="3">
        <v>1</v>
      </c>
      <c r="C5" s="3">
        <f t="shared" ref="C5:C68" si="0">IF(OR(E5&lt;&gt;E6,E5=0),0,A6)</f>
        <v>0</v>
      </c>
      <c r="D5" s="22" t="str">
        <f>"newbie_name_"&amp;表6[[#This Row],[任务ID]]</f>
        <v>newbie_name_10000</v>
      </c>
      <c r="E5" s="3">
        <v>13</v>
      </c>
      <c r="F5" s="3">
        <v>0</v>
      </c>
      <c r="G5" s="3">
        <v>1</v>
      </c>
      <c r="H5" s="1" t="s">
        <v>68</v>
      </c>
      <c r="I5" s="3">
        <v>1</v>
      </c>
      <c r="J5" s="23" t="s">
        <v>92</v>
      </c>
    </row>
    <row r="6" spans="1:29" x14ac:dyDescent="0.15">
      <c r="A6" s="2">
        <f t="shared" ref="A6:A69" si="1">IF(B6&lt;&gt;B5,B6*10000,IF(OR(E6&lt;&gt;E5,E6=0),INT(A5/100)*100+100,A5+1))</f>
        <v>10100</v>
      </c>
      <c r="B6" s="3">
        <v>1</v>
      </c>
      <c r="C6" s="3">
        <f t="shared" si="0"/>
        <v>0</v>
      </c>
      <c r="D6" s="22" t="str">
        <f>"newbie_name_"&amp;表6[[#This Row],[任务ID]]</f>
        <v>newbie_name_10100</v>
      </c>
      <c r="E6" s="3">
        <v>19</v>
      </c>
      <c r="F6" s="3">
        <v>1</v>
      </c>
      <c r="G6" s="3">
        <v>1</v>
      </c>
      <c r="H6" s="10" t="s">
        <v>310</v>
      </c>
      <c r="I6" s="3">
        <v>1</v>
      </c>
      <c r="J6" s="3" t="s">
        <v>93</v>
      </c>
    </row>
    <row r="7" spans="1:29" x14ac:dyDescent="0.15">
      <c r="A7" s="2">
        <f t="shared" si="1"/>
        <v>10200</v>
      </c>
      <c r="B7" s="3">
        <v>1</v>
      </c>
      <c r="C7" s="3">
        <f t="shared" si="0"/>
        <v>0</v>
      </c>
      <c r="D7" s="22" t="str">
        <f>"newbie_name_"&amp;表6[[#This Row],[任务ID]]</f>
        <v>newbie_name_10200</v>
      </c>
      <c r="E7" s="3">
        <v>0</v>
      </c>
      <c r="F7" s="3">
        <v>0</v>
      </c>
      <c r="G7" s="3">
        <v>30</v>
      </c>
      <c r="H7" s="1" t="s">
        <v>69</v>
      </c>
      <c r="I7" s="3">
        <v>1</v>
      </c>
      <c r="J7" s="3" t="s">
        <v>94</v>
      </c>
    </row>
    <row r="8" spans="1:29" x14ac:dyDescent="0.15">
      <c r="A8" s="2">
        <f t="shared" si="1"/>
        <v>10300</v>
      </c>
      <c r="B8" s="3">
        <v>1</v>
      </c>
      <c r="C8" s="3">
        <f t="shared" si="0"/>
        <v>0</v>
      </c>
      <c r="D8" s="22" t="str">
        <f>"newbie_name_"&amp;表6[[#This Row],[任务ID]]</f>
        <v>newbie_name_10300</v>
      </c>
      <c r="E8" s="3">
        <v>0</v>
      </c>
      <c r="F8" s="3">
        <v>0</v>
      </c>
      <c r="G8" s="3">
        <v>90</v>
      </c>
      <c r="H8" s="1" t="s">
        <v>70</v>
      </c>
      <c r="I8" s="3">
        <v>1</v>
      </c>
      <c r="J8" s="3" t="s">
        <v>95</v>
      </c>
    </row>
    <row r="9" spans="1:29" x14ac:dyDescent="0.15">
      <c r="A9" s="2">
        <f t="shared" si="1"/>
        <v>10400</v>
      </c>
      <c r="B9" s="3">
        <v>1</v>
      </c>
      <c r="C9" s="3">
        <f t="shared" si="0"/>
        <v>10401</v>
      </c>
      <c r="D9" s="22" t="str">
        <f>"newbie_name_"&amp;表6[[#This Row],[任务ID]]</f>
        <v>newbie_name_10400</v>
      </c>
      <c r="E9" s="3">
        <v>1</v>
      </c>
      <c r="F9" s="3">
        <v>0</v>
      </c>
      <c r="G9" s="3">
        <v>1000</v>
      </c>
      <c r="H9" s="1" t="s">
        <v>311</v>
      </c>
      <c r="I9" s="3">
        <v>1</v>
      </c>
      <c r="J9" s="3" t="s">
        <v>96</v>
      </c>
    </row>
    <row r="10" spans="1:29" x14ac:dyDescent="0.15">
      <c r="A10" s="2">
        <f t="shared" si="1"/>
        <v>10401</v>
      </c>
      <c r="B10" s="3">
        <v>1</v>
      </c>
      <c r="C10" s="3">
        <f t="shared" si="0"/>
        <v>10402</v>
      </c>
      <c r="D10" s="22" t="str">
        <f>"newbie_name_"&amp;表6[[#This Row],[任务ID]]</f>
        <v>newbie_name_10401</v>
      </c>
      <c r="E10" s="3">
        <v>1</v>
      </c>
      <c r="F10" s="3">
        <v>0</v>
      </c>
      <c r="G10" s="3">
        <v>2000</v>
      </c>
      <c r="H10" s="1" t="s">
        <v>311</v>
      </c>
      <c r="I10" s="3">
        <v>1</v>
      </c>
      <c r="J10" s="3" t="s">
        <v>97</v>
      </c>
    </row>
    <row r="11" spans="1:29" x14ac:dyDescent="0.15">
      <c r="A11" s="2">
        <f t="shared" si="1"/>
        <v>10402</v>
      </c>
      <c r="B11" s="3">
        <v>1</v>
      </c>
      <c r="C11" s="3">
        <f t="shared" si="0"/>
        <v>10403</v>
      </c>
      <c r="D11" s="22" t="str">
        <f>"newbie_name_"&amp;表6[[#This Row],[任务ID]]</f>
        <v>newbie_name_10402</v>
      </c>
      <c r="E11" s="3">
        <v>1</v>
      </c>
      <c r="F11" s="3">
        <v>0</v>
      </c>
      <c r="G11" s="3">
        <v>3000</v>
      </c>
      <c r="H11" s="1" t="s">
        <v>311</v>
      </c>
      <c r="I11" s="3">
        <v>1</v>
      </c>
      <c r="J11" s="3" t="s">
        <v>98</v>
      </c>
    </row>
    <row r="12" spans="1:29" x14ac:dyDescent="0.15">
      <c r="A12" s="2">
        <f t="shared" si="1"/>
        <v>10403</v>
      </c>
      <c r="B12" s="3">
        <v>1</v>
      </c>
      <c r="C12" s="3">
        <f t="shared" si="0"/>
        <v>10404</v>
      </c>
      <c r="D12" s="22" t="str">
        <f>"newbie_name_"&amp;表6[[#This Row],[任务ID]]</f>
        <v>newbie_name_10403</v>
      </c>
      <c r="E12" s="3">
        <v>1</v>
      </c>
      <c r="F12" s="3">
        <v>0</v>
      </c>
      <c r="G12" s="3">
        <v>4000</v>
      </c>
      <c r="H12" s="1" t="s">
        <v>311</v>
      </c>
      <c r="I12" s="3">
        <v>1</v>
      </c>
      <c r="J12" s="3" t="s">
        <v>99</v>
      </c>
    </row>
    <row r="13" spans="1:29" x14ac:dyDescent="0.15">
      <c r="A13" s="2">
        <f t="shared" si="1"/>
        <v>10404</v>
      </c>
      <c r="B13" s="3">
        <v>1</v>
      </c>
      <c r="C13" s="3">
        <f t="shared" si="0"/>
        <v>10405</v>
      </c>
      <c r="D13" s="22" t="str">
        <f>"newbie_name_"&amp;表6[[#This Row],[任务ID]]</f>
        <v>newbie_name_10404</v>
      </c>
      <c r="E13" s="3">
        <v>1</v>
      </c>
      <c r="F13" s="3">
        <v>0</v>
      </c>
      <c r="G13" s="3">
        <v>6000</v>
      </c>
      <c r="H13" s="1" t="s">
        <v>312</v>
      </c>
      <c r="I13" s="3">
        <v>2</v>
      </c>
      <c r="J13" s="3" t="s">
        <v>100</v>
      </c>
    </row>
    <row r="14" spans="1:29" x14ac:dyDescent="0.15">
      <c r="A14" s="2">
        <f t="shared" si="1"/>
        <v>10405</v>
      </c>
      <c r="B14" s="3">
        <v>1</v>
      </c>
      <c r="C14" s="3">
        <f t="shared" si="0"/>
        <v>10406</v>
      </c>
      <c r="D14" s="22" t="str">
        <f>"newbie_name_"&amp;表6[[#This Row],[任务ID]]</f>
        <v>newbie_name_10405</v>
      </c>
      <c r="E14" s="3">
        <v>1</v>
      </c>
      <c r="F14" s="3">
        <v>0</v>
      </c>
      <c r="G14" s="3">
        <v>8000</v>
      </c>
      <c r="H14" s="1" t="s">
        <v>312</v>
      </c>
      <c r="I14" s="3">
        <v>3</v>
      </c>
      <c r="J14" s="3" t="s">
        <v>101</v>
      </c>
    </row>
    <row r="15" spans="1:29" x14ac:dyDescent="0.15">
      <c r="A15" s="2">
        <f t="shared" si="1"/>
        <v>10406</v>
      </c>
      <c r="B15" s="3">
        <v>1</v>
      </c>
      <c r="C15" s="3">
        <f t="shared" si="0"/>
        <v>10407</v>
      </c>
      <c r="D15" s="22" t="str">
        <f>"newbie_name_"&amp;表6[[#This Row],[任务ID]]</f>
        <v>newbie_name_10406</v>
      </c>
      <c r="E15" s="3">
        <v>1</v>
      </c>
      <c r="F15" s="3">
        <v>0</v>
      </c>
      <c r="G15" s="3">
        <v>10000</v>
      </c>
      <c r="H15" s="1" t="s">
        <v>313</v>
      </c>
      <c r="I15" s="3">
        <v>4</v>
      </c>
      <c r="J15" s="3" t="s">
        <v>102</v>
      </c>
    </row>
    <row r="16" spans="1:29" x14ac:dyDescent="0.15">
      <c r="A16" s="2">
        <f t="shared" si="1"/>
        <v>10407</v>
      </c>
      <c r="B16" s="3">
        <v>1</v>
      </c>
      <c r="C16" s="3">
        <f t="shared" si="0"/>
        <v>10408</v>
      </c>
      <c r="D16" s="22" t="str">
        <f>"newbie_name_"&amp;表6[[#This Row],[任务ID]]</f>
        <v>newbie_name_10407</v>
      </c>
      <c r="E16" s="3">
        <v>1</v>
      </c>
      <c r="F16" s="3">
        <v>0</v>
      </c>
      <c r="G16" s="3">
        <v>15000</v>
      </c>
      <c r="H16" s="1" t="s">
        <v>313</v>
      </c>
      <c r="I16" s="3">
        <v>5</v>
      </c>
      <c r="J16" s="3" t="s">
        <v>103</v>
      </c>
    </row>
    <row r="17" spans="1:10" x14ac:dyDescent="0.15">
      <c r="A17" s="2">
        <f t="shared" si="1"/>
        <v>10408</v>
      </c>
      <c r="B17" s="3">
        <v>1</v>
      </c>
      <c r="C17" s="3">
        <f t="shared" si="0"/>
        <v>10409</v>
      </c>
      <c r="D17" s="22" t="str">
        <f>"newbie_name_"&amp;表6[[#This Row],[任务ID]]</f>
        <v>newbie_name_10408</v>
      </c>
      <c r="E17" s="3">
        <v>1</v>
      </c>
      <c r="F17" s="3">
        <v>0</v>
      </c>
      <c r="G17" s="3">
        <v>20000</v>
      </c>
      <c r="H17" s="1" t="s">
        <v>314</v>
      </c>
      <c r="I17" s="3">
        <v>6</v>
      </c>
      <c r="J17" s="3" t="s">
        <v>104</v>
      </c>
    </row>
    <row r="18" spans="1:10" x14ac:dyDescent="0.15">
      <c r="A18" s="2">
        <f t="shared" si="1"/>
        <v>10409</v>
      </c>
      <c r="B18" s="3">
        <v>1</v>
      </c>
      <c r="C18" s="3">
        <f t="shared" si="0"/>
        <v>10410</v>
      </c>
      <c r="D18" s="22" t="str">
        <f>"newbie_name_"&amp;表6[[#This Row],[任务ID]]</f>
        <v>newbie_name_10409</v>
      </c>
      <c r="E18" s="3">
        <v>1</v>
      </c>
      <c r="F18" s="3">
        <v>0</v>
      </c>
      <c r="G18" s="3">
        <v>30000</v>
      </c>
      <c r="H18" s="1" t="s">
        <v>314</v>
      </c>
      <c r="I18" s="3">
        <v>7</v>
      </c>
      <c r="J18" s="3" t="s">
        <v>105</v>
      </c>
    </row>
    <row r="19" spans="1:10" x14ac:dyDescent="0.15">
      <c r="A19" s="2">
        <f t="shared" si="1"/>
        <v>10410</v>
      </c>
      <c r="B19" s="3">
        <v>1</v>
      </c>
      <c r="C19" s="3">
        <f t="shared" si="0"/>
        <v>0</v>
      </c>
      <c r="D19" s="22" t="str">
        <f>"newbie_name_"&amp;表6[[#This Row],[任务ID]]</f>
        <v>newbie_name_10410</v>
      </c>
      <c r="E19" s="3">
        <v>1</v>
      </c>
      <c r="F19" s="3">
        <v>0</v>
      </c>
      <c r="G19" s="3">
        <v>40000</v>
      </c>
      <c r="H19" s="1" t="s">
        <v>314</v>
      </c>
      <c r="I19" s="3">
        <v>8</v>
      </c>
      <c r="J19" s="3" t="s">
        <v>106</v>
      </c>
    </row>
    <row r="20" spans="1:10" x14ac:dyDescent="0.15">
      <c r="A20" s="2">
        <f t="shared" si="1"/>
        <v>10500</v>
      </c>
      <c r="B20" s="3">
        <v>1</v>
      </c>
      <c r="C20" s="3">
        <f t="shared" si="0"/>
        <v>10501</v>
      </c>
      <c r="D20" s="22" t="str">
        <f>"newbie_name_"&amp;表6[[#This Row],[任务ID]]</f>
        <v>newbie_name_10500</v>
      </c>
      <c r="E20" s="3">
        <v>2</v>
      </c>
      <c r="F20" s="3">
        <v>2</v>
      </c>
      <c r="G20" s="3">
        <v>10</v>
      </c>
      <c r="H20" s="1" t="s">
        <v>315</v>
      </c>
      <c r="I20" s="3">
        <v>1</v>
      </c>
      <c r="J20" s="22" t="s">
        <v>107</v>
      </c>
    </row>
    <row r="21" spans="1:10" x14ac:dyDescent="0.15">
      <c r="A21" s="2">
        <f t="shared" si="1"/>
        <v>10501</v>
      </c>
      <c r="B21" s="3">
        <v>1</v>
      </c>
      <c r="C21" s="3">
        <f t="shared" si="0"/>
        <v>10502</v>
      </c>
      <c r="D21" s="22" t="str">
        <f>"newbie_name_"&amp;表6[[#This Row],[任务ID]]</f>
        <v>newbie_name_10501</v>
      </c>
      <c r="E21" s="3">
        <v>2</v>
      </c>
      <c r="F21" s="3">
        <v>2</v>
      </c>
      <c r="G21" s="3">
        <v>20</v>
      </c>
      <c r="H21" s="1" t="s">
        <v>315</v>
      </c>
      <c r="I21" s="3">
        <v>1</v>
      </c>
      <c r="J21" s="22" t="s">
        <v>108</v>
      </c>
    </row>
    <row r="22" spans="1:10" x14ac:dyDescent="0.15">
      <c r="A22" s="2">
        <f t="shared" si="1"/>
        <v>10502</v>
      </c>
      <c r="B22" s="3">
        <v>1</v>
      </c>
      <c r="C22" s="3">
        <f t="shared" si="0"/>
        <v>10503</v>
      </c>
      <c r="D22" s="22" t="str">
        <f>"newbie_name_"&amp;表6[[#This Row],[任务ID]]</f>
        <v>newbie_name_10502</v>
      </c>
      <c r="E22" s="3">
        <v>2</v>
      </c>
      <c r="F22" s="3">
        <v>2</v>
      </c>
      <c r="G22" s="3">
        <v>30</v>
      </c>
      <c r="H22" s="1" t="s">
        <v>315</v>
      </c>
      <c r="I22" s="3">
        <v>1</v>
      </c>
      <c r="J22" s="22" t="s">
        <v>109</v>
      </c>
    </row>
    <row r="23" spans="1:10" x14ac:dyDescent="0.15">
      <c r="A23" s="2">
        <f t="shared" si="1"/>
        <v>10503</v>
      </c>
      <c r="B23" s="3">
        <v>1</v>
      </c>
      <c r="C23" s="3">
        <f t="shared" si="0"/>
        <v>10504</v>
      </c>
      <c r="D23" s="22" t="str">
        <f>"newbie_name_"&amp;表6[[#This Row],[任务ID]]</f>
        <v>newbie_name_10503</v>
      </c>
      <c r="E23" s="3">
        <v>2</v>
      </c>
      <c r="F23" s="3">
        <v>2</v>
      </c>
      <c r="G23" s="3">
        <v>40</v>
      </c>
      <c r="H23" s="1" t="s">
        <v>315</v>
      </c>
      <c r="I23" s="3">
        <v>1</v>
      </c>
      <c r="J23" s="22" t="s">
        <v>110</v>
      </c>
    </row>
    <row r="24" spans="1:10" x14ac:dyDescent="0.15">
      <c r="A24" s="2">
        <f t="shared" si="1"/>
        <v>10504</v>
      </c>
      <c r="B24" s="3">
        <v>1</v>
      </c>
      <c r="C24" s="3">
        <f t="shared" si="0"/>
        <v>10505</v>
      </c>
      <c r="D24" s="22" t="str">
        <f>"newbie_name_"&amp;表6[[#This Row],[任务ID]]</f>
        <v>newbie_name_10504</v>
      </c>
      <c r="E24" s="3">
        <v>2</v>
      </c>
      <c r="F24" s="3">
        <v>2</v>
      </c>
      <c r="G24" s="3">
        <v>60</v>
      </c>
      <c r="H24" s="1" t="s">
        <v>315</v>
      </c>
      <c r="I24" s="3">
        <v>2</v>
      </c>
      <c r="J24" s="22" t="s">
        <v>111</v>
      </c>
    </row>
    <row r="25" spans="1:10" x14ac:dyDescent="0.15">
      <c r="A25" s="2">
        <f t="shared" si="1"/>
        <v>10505</v>
      </c>
      <c r="B25" s="3">
        <v>1</v>
      </c>
      <c r="C25" s="3">
        <f t="shared" si="0"/>
        <v>10506</v>
      </c>
      <c r="D25" s="22" t="str">
        <f>"newbie_name_"&amp;表6[[#This Row],[任务ID]]</f>
        <v>newbie_name_10505</v>
      </c>
      <c r="E25" s="3">
        <v>2</v>
      </c>
      <c r="F25" s="3">
        <v>2</v>
      </c>
      <c r="G25" s="3">
        <v>80</v>
      </c>
      <c r="H25" s="1" t="s">
        <v>316</v>
      </c>
      <c r="I25" s="3">
        <v>3</v>
      </c>
      <c r="J25" s="22" t="s">
        <v>112</v>
      </c>
    </row>
    <row r="26" spans="1:10" x14ac:dyDescent="0.15">
      <c r="A26" s="2">
        <f t="shared" si="1"/>
        <v>10506</v>
      </c>
      <c r="B26" s="3">
        <v>1</v>
      </c>
      <c r="C26" s="3">
        <f t="shared" si="0"/>
        <v>10507</v>
      </c>
      <c r="D26" s="22" t="str">
        <f>"newbie_name_"&amp;表6[[#This Row],[任务ID]]</f>
        <v>newbie_name_10506</v>
      </c>
      <c r="E26" s="3">
        <v>2</v>
      </c>
      <c r="F26" s="3">
        <v>2</v>
      </c>
      <c r="G26" s="3">
        <v>100</v>
      </c>
      <c r="H26" s="1" t="s">
        <v>316</v>
      </c>
      <c r="I26" s="3">
        <v>4</v>
      </c>
      <c r="J26" s="22" t="s">
        <v>113</v>
      </c>
    </row>
    <row r="27" spans="1:10" x14ac:dyDescent="0.15">
      <c r="A27" s="2">
        <f t="shared" si="1"/>
        <v>10507</v>
      </c>
      <c r="B27" s="3">
        <v>1</v>
      </c>
      <c r="C27" s="3">
        <f t="shared" si="0"/>
        <v>10508</v>
      </c>
      <c r="D27" s="22" t="str">
        <f>"newbie_name_"&amp;表6[[#This Row],[任务ID]]</f>
        <v>newbie_name_10507</v>
      </c>
      <c r="E27" s="3">
        <v>2</v>
      </c>
      <c r="F27" s="3">
        <v>2</v>
      </c>
      <c r="G27" s="3">
        <v>120</v>
      </c>
      <c r="H27" s="1" t="s">
        <v>316</v>
      </c>
      <c r="I27" s="3">
        <v>5</v>
      </c>
      <c r="J27" s="22" t="s">
        <v>114</v>
      </c>
    </row>
    <row r="28" spans="1:10" x14ac:dyDescent="0.15">
      <c r="A28" s="2">
        <f t="shared" si="1"/>
        <v>10508</v>
      </c>
      <c r="B28" s="3">
        <v>1</v>
      </c>
      <c r="C28" s="3">
        <f t="shared" si="0"/>
        <v>10509</v>
      </c>
      <c r="D28" s="22" t="str">
        <f>"newbie_name_"&amp;表6[[#This Row],[任务ID]]</f>
        <v>newbie_name_10508</v>
      </c>
      <c r="E28" s="3">
        <v>2</v>
      </c>
      <c r="F28" s="3">
        <v>2</v>
      </c>
      <c r="G28" s="3">
        <v>140</v>
      </c>
      <c r="H28" s="1" t="s">
        <v>316</v>
      </c>
      <c r="I28" s="3">
        <v>6</v>
      </c>
      <c r="J28" s="22" t="s">
        <v>115</v>
      </c>
    </row>
    <row r="29" spans="1:10" x14ac:dyDescent="0.15">
      <c r="A29" s="2">
        <f t="shared" si="1"/>
        <v>10509</v>
      </c>
      <c r="B29" s="3">
        <v>1</v>
      </c>
      <c r="C29" s="3">
        <f t="shared" si="0"/>
        <v>10510</v>
      </c>
      <c r="D29" s="22" t="str">
        <f>"newbie_name_"&amp;表6[[#This Row],[任务ID]]</f>
        <v>newbie_name_10509</v>
      </c>
      <c r="E29" s="3">
        <v>2</v>
      </c>
      <c r="F29" s="3">
        <v>2</v>
      </c>
      <c r="G29" s="3">
        <v>160</v>
      </c>
      <c r="H29" s="1" t="s">
        <v>316</v>
      </c>
      <c r="I29" s="3">
        <v>7</v>
      </c>
      <c r="J29" s="22" t="s">
        <v>116</v>
      </c>
    </row>
    <row r="30" spans="1:10" x14ac:dyDescent="0.15">
      <c r="A30" s="2">
        <f t="shared" si="1"/>
        <v>10510</v>
      </c>
      <c r="B30" s="3">
        <v>1</v>
      </c>
      <c r="C30" s="3">
        <f t="shared" si="0"/>
        <v>0</v>
      </c>
      <c r="D30" s="22" t="str">
        <f>"newbie_name_"&amp;表6[[#This Row],[任务ID]]</f>
        <v>newbie_name_10510</v>
      </c>
      <c r="E30" s="3">
        <v>2</v>
      </c>
      <c r="F30" s="3">
        <v>2</v>
      </c>
      <c r="G30" s="3">
        <v>200</v>
      </c>
      <c r="H30" s="1" t="s">
        <v>316</v>
      </c>
      <c r="I30" s="3">
        <v>8</v>
      </c>
      <c r="J30" s="22" t="s">
        <v>117</v>
      </c>
    </row>
    <row r="31" spans="1:10" x14ac:dyDescent="0.15">
      <c r="A31" s="2">
        <f t="shared" si="1"/>
        <v>10600</v>
      </c>
      <c r="B31" s="3">
        <v>1</v>
      </c>
      <c r="C31" s="3">
        <f t="shared" si="0"/>
        <v>10601</v>
      </c>
      <c r="D31" s="22" t="str">
        <f>"newbie_name_"&amp;表6[[#This Row],[任务ID]]</f>
        <v>newbie_name_10600</v>
      </c>
      <c r="E31" s="3">
        <v>3</v>
      </c>
      <c r="F31" s="3">
        <v>0</v>
      </c>
      <c r="G31" s="3">
        <v>12</v>
      </c>
      <c r="H31" s="1" t="s">
        <v>317</v>
      </c>
      <c r="I31" s="3">
        <v>1</v>
      </c>
      <c r="J31" s="3" t="s">
        <v>118</v>
      </c>
    </row>
    <row r="32" spans="1:10" x14ac:dyDescent="0.15">
      <c r="A32" s="2">
        <f t="shared" si="1"/>
        <v>10601</v>
      </c>
      <c r="B32" s="3">
        <v>1</v>
      </c>
      <c r="C32" s="3">
        <f t="shared" si="0"/>
        <v>10602</v>
      </c>
      <c r="D32" s="22" t="str">
        <f>"newbie_name_"&amp;表6[[#This Row],[任务ID]]</f>
        <v>newbie_name_10601</v>
      </c>
      <c r="E32" s="3">
        <v>3</v>
      </c>
      <c r="F32" s="3">
        <v>0</v>
      </c>
      <c r="G32" s="3">
        <v>15</v>
      </c>
      <c r="H32" s="1" t="s">
        <v>317</v>
      </c>
      <c r="I32" s="3">
        <v>2</v>
      </c>
      <c r="J32" s="3" t="s">
        <v>119</v>
      </c>
    </row>
    <row r="33" spans="1:10" x14ac:dyDescent="0.15">
      <c r="A33" s="2">
        <f t="shared" si="1"/>
        <v>10602</v>
      </c>
      <c r="B33" s="3">
        <v>1</v>
      </c>
      <c r="C33" s="3">
        <f t="shared" si="0"/>
        <v>10603</v>
      </c>
      <c r="D33" s="22" t="str">
        <f>"newbie_name_"&amp;表6[[#This Row],[任务ID]]</f>
        <v>newbie_name_10602</v>
      </c>
      <c r="E33" s="3">
        <v>3</v>
      </c>
      <c r="F33" s="3">
        <v>0</v>
      </c>
      <c r="G33" s="3">
        <v>18</v>
      </c>
      <c r="H33" s="1" t="s">
        <v>318</v>
      </c>
      <c r="I33" s="3">
        <v>3</v>
      </c>
      <c r="J33" s="3" t="s">
        <v>120</v>
      </c>
    </row>
    <row r="34" spans="1:10" x14ac:dyDescent="0.15">
      <c r="A34" s="2">
        <f t="shared" si="1"/>
        <v>10603</v>
      </c>
      <c r="B34" s="3">
        <v>1</v>
      </c>
      <c r="C34" s="3">
        <f t="shared" si="0"/>
        <v>10604</v>
      </c>
      <c r="D34" s="22" t="str">
        <f>"newbie_name_"&amp;表6[[#This Row],[任务ID]]</f>
        <v>newbie_name_10603</v>
      </c>
      <c r="E34" s="3">
        <v>3</v>
      </c>
      <c r="F34" s="3">
        <v>0</v>
      </c>
      <c r="G34" s="3">
        <v>21</v>
      </c>
      <c r="H34" s="1" t="s">
        <v>318</v>
      </c>
      <c r="I34" s="3">
        <v>4</v>
      </c>
      <c r="J34" s="3" t="s">
        <v>121</v>
      </c>
    </row>
    <row r="35" spans="1:10" x14ac:dyDescent="0.15">
      <c r="A35" s="2">
        <f t="shared" si="1"/>
        <v>10604</v>
      </c>
      <c r="B35" s="3">
        <v>1</v>
      </c>
      <c r="C35" s="3">
        <f t="shared" si="0"/>
        <v>10605</v>
      </c>
      <c r="D35" s="22" t="str">
        <f>"newbie_name_"&amp;表6[[#This Row],[任务ID]]</f>
        <v>newbie_name_10604</v>
      </c>
      <c r="E35" s="3">
        <v>3</v>
      </c>
      <c r="F35" s="3">
        <v>0</v>
      </c>
      <c r="G35" s="3">
        <v>24</v>
      </c>
      <c r="H35" s="1" t="s">
        <v>319</v>
      </c>
      <c r="I35" s="3">
        <v>5</v>
      </c>
      <c r="J35" s="3" t="s">
        <v>122</v>
      </c>
    </row>
    <row r="36" spans="1:10" x14ac:dyDescent="0.15">
      <c r="A36" s="2">
        <f t="shared" si="1"/>
        <v>10605</v>
      </c>
      <c r="B36" s="3">
        <v>1</v>
      </c>
      <c r="C36" s="3">
        <f t="shared" si="0"/>
        <v>10606</v>
      </c>
      <c r="D36" s="22" t="str">
        <f>"newbie_name_"&amp;表6[[#This Row],[任务ID]]</f>
        <v>newbie_name_10605</v>
      </c>
      <c r="E36" s="3">
        <v>3</v>
      </c>
      <c r="F36" s="3">
        <v>0</v>
      </c>
      <c r="G36" s="3">
        <v>27</v>
      </c>
      <c r="H36" s="1" t="s">
        <v>319</v>
      </c>
      <c r="I36" s="3">
        <v>6</v>
      </c>
      <c r="J36" s="3" t="s">
        <v>123</v>
      </c>
    </row>
    <row r="37" spans="1:10" x14ac:dyDescent="0.15">
      <c r="A37" s="2">
        <f t="shared" si="1"/>
        <v>10606</v>
      </c>
      <c r="B37" s="3">
        <v>1</v>
      </c>
      <c r="C37" s="3">
        <f t="shared" si="0"/>
        <v>10607</v>
      </c>
      <c r="D37" s="22" t="str">
        <f>"newbie_name_"&amp;表6[[#This Row],[任务ID]]</f>
        <v>newbie_name_10606</v>
      </c>
      <c r="E37" s="3">
        <v>3</v>
      </c>
      <c r="F37" s="3">
        <v>0</v>
      </c>
      <c r="G37" s="3">
        <v>30</v>
      </c>
      <c r="H37" s="1" t="s">
        <v>320</v>
      </c>
      <c r="I37" s="3">
        <v>7</v>
      </c>
      <c r="J37" s="3" t="s">
        <v>124</v>
      </c>
    </row>
    <row r="38" spans="1:10" x14ac:dyDescent="0.15">
      <c r="A38" s="2">
        <f t="shared" si="1"/>
        <v>10607</v>
      </c>
      <c r="B38" s="3">
        <v>1</v>
      </c>
      <c r="C38" s="3">
        <f t="shared" si="0"/>
        <v>0</v>
      </c>
      <c r="D38" s="22" t="str">
        <f>"newbie_name_"&amp;表6[[#This Row],[任务ID]]</f>
        <v>newbie_name_10607</v>
      </c>
      <c r="E38" s="3">
        <v>3</v>
      </c>
      <c r="F38" s="3">
        <v>0</v>
      </c>
      <c r="G38" s="3">
        <v>30</v>
      </c>
      <c r="H38" s="1" t="s">
        <v>320</v>
      </c>
      <c r="I38" s="3">
        <v>8</v>
      </c>
      <c r="J38" s="3" t="s">
        <v>125</v>
      </c>
    </row>
    <row r="39" spans="1:10" x14ac:dyDescent="0.15">
      <c r="A39" s="2">
        <f t="shared" si="1"/>
        <v>20000</v>
      </c>
      <c r="B39" s="3">
        <v>2</v>
      </c>
      <c r="C39" s="3">
        <f t="shared" si="0"/>
        <v>0</v>
      </c>
      <c r="D39" s="22" t="str">
        <f>"newbie_name_"&amp;表6[[#This Row],[任务ID]]</f>
        <v>newbie_name_20000</v>
      </c>
      <c r="E39" s="3">
        <v>13</v>
      </c>
      <c r="F39" s="3">
        <v>0</v>
      </c>
      <c r="G39" s="3">
        <v>2</v>
      </c>
      <c r="H39" s="1" t="s">
        <v>71</v>
      </c>
      <c r="I39" s="3">
        <v>2</v>
      </c>
      <c r="J39" s="23" t="s">
        <v>126</v>
      </c>
    </row>
    <row r="40" spans="1:10" x14ac:dyDescent="0.15">
      <c r="A40" s="2">
        <f t="shared" si="1"/>
        <v>20100</v>
      </c>
      <c r="B40" s="3">
        <v>2</v>
      </c>
      <c r="C40" s="3">
        <f t="shared" si="0"/>
        <v>0</v>
      </c>
      <c r="D40" s="22" t="str">
        <f>"newbie_name_"&amp;表6[[#This Row],[任务ID]]</f>
        <v>newbie_name_20100</v>
      </c>
      <c r="E40" s="3">
        <v>19</v>
      </c>
      <c r="F40" s="3">
        <v>1</v>
      </c>
      <c r="G40" s="3">
        <v>1</v>
      </c>
      <c r="H40" s="1" t="s">
        <v>321</v>
      </c>
      <c r="I40" s="3">
        <v>2</v>
      </c>
      <c r="J40" s="3" t="s">
        <v>93</v>
      </c>
    </row>
    <row r="41" spans="1:10" x14ac:dyDescent="0.15">
      <c r="A41" s="2">
        <f t="shared" si="1"/>
        <v>20200</v>
      </c>
      <c r="B41" s="3">
        <v>2</v>
      </c>
      <c r="C41" s="3">
        <f t="shared" si="0"/>
        <v>0</v>
      </c>
      <c r="D41" s="22" t="str">
        <f>"newbie_name_"&amp;表6[[#This Row],[任务ID]]</f>
        <v>newbie_name_20200</v>
      </c>
      <c r="E41" s="3">
        <v>0</v>
      </c>
      <c r="F41" s="3">
        <v>0</v>
      </c>
      <c r="G41" s="3">
        <v>300</v>
      </c>
      <c r="H41" s="1" t="s">
        <v>72</v>
      </c>
      <c r="I41" s="3">
        <v>2</v>
      </c>
      <c r="J41" s="3" t="s">
        <v>127</v>
      </c>
    </row>
    <row r="42" spans="1:10" x14ac:dyDescent="0.15">
      <c r="A42" s="2">
        <f t="shared" si="1"/>
        <v>20300</v>
      </c>
      <c r="B42" s="3">
        <v>2</v>
      </c>
      <c r="C42" s="3">
        <f t="shared" si="0"/>
        <v>0</v>
      </c>
      <c r="D42" s="22" t="str">
        <f>"newbie_name_"&amp;表6[[#This Row],[任务ID]]</f>
        <v>newbie_name_20300</v>
      </c>
      <c r="E42" s="3">
        <v>0</v>
      </c>
      <c r="F42" s="3">
        <v>0</v>
      </c>
      <c r="G42" s="3">
        <v>90</v>
      </c>
      <c r="H42" s="1" t="s">
        <v>73</v>
      </c>
      <c r="I42" s="3">
        <v>2</v>
      </c>
      <c r="J42" s="3" t="s">
        <v>128</v>
      </c>
    </row>
    <row r="43" spans="1:10" x14ac:dyDescent="0.15">
      <c r="A43" s="2">
        <f t="shared" si="1"/>
        <v>20400</v>
      </c>
      <c r="B43" s="3">
        <v>2</v>
      </c>
      <c r="C43" s="3">
        <f t="shared" si="0"/>
        <v>20401</v>
      </c>
      <c r="D43" s="22" t="str">
        <f>"newbie_name_"&amp;表6[[#This Row],[任务ID]]</f>
        <v>newbie_name_20400</v>
      </c>
      <c r="E43" s="3">
        <v>20</v>
      </c>
      <c r="F43" s="3">
        <v>0</v>
      </c>
      <c r="G43" s="3">
        <v>1</v>
      </c>
      <c r="H43" s="1" t="s">
        <v>322</v>
      </c>
      <c r="I43" s="3">
        <v>2</v>
      </c>
      <c r="J43" s="3" t="s">
        <v>129</v>
      </c>
    </row>
    <row r="44" spans="1:10" x14ac:dyDescent="0.15">
      <c r="A44" s="2">
        <f t="shared" si="1"/>
        <v>20401</v>
      </c>
      <c r="B44" s="3">
        <v>2</v>
      </c>
      <c r="C44" s="3">
        <f t="shared" si="0"/>
        <v>20402</v>
      </c>
      <c r="D44" s="22" t="str">
        <f>"newbie_name_"&amp;表6[[#This Row],[任务ID]]</f>
        <v>newbie_name_20401</v>
      </c>
      <c r="E44" s="3">
        <v>20</v>
      </c>
      <c r="F44" s="3">
        <v>0</v>
      </c>
      <c r="G44" s="3">
        <v>2</v>
      </c>
      <c r="H44" s="1" t="s">
        <v>323</v>
      </c>
      <c r="I44" s="3">
        <v>2</v>
      </c>
      <c r="J44" s="3" t="s">
        <v>130</v>
      </c>
    </row>
    <row r="45" spans="1:10" x14ac:dyDescent="0.15">
      <c r="A45" s="2">
        <f t="shared" si="1"/>
        <v>20402</v>
      </c>
      <c r="B45" s="3">
        <v>2</v>
      </c>
      <c r="C45" s="3">
        <f t="shared" si="0"/>
        <v>20403</v>
      </c>
      <c r="D45" s="22" t="str">
        <f>"newbie_name_"&amp;表6[[#This Row],[任务ID]]</f>
        <v>newbie_name_20402</v>
      </c>
      <c r="E45" s="3">
        <v>20</v>
      </c>
      <c r="F45" s="3">
        <v>0</v>
      </c>
      <c r="G45" s="3">
        <v>4</v>
      </c>
      <c r="H45" s="1" t="s">
        <v>324</v>
      </c>
      <c r="I45" s="3">
        <v>2</v>
      </c>
      <c r="J45" s="3" t="s">
        <v>131</v>
      </c>
    </row>
    <row r="46" spans="1:10" x14ac:dyDescent="0.15">
      <c r="A46" s="2">
        <f t="shared" si="1"/>
        <v>20403</v>
      </c>
      <c r="B46" s="3">
        <v>2</v>
      </c>
      <c r="C46" s="3">
        <f t="shared" si="0"/>
        <v>20404</v>
      </c>
      <c r="D46" s="22" t="str">
        <f>"newbie_name_"&amp;表6[[#This Row],[任务ID]]</f>
        <v>newbie_name_20403</v>
      </c>
      <c r="E46" s="3">
        <v>20</v>
      </c>
      <c r="F46" s="3">
        <v>0</v>
      </c>
      <c r="G46" s="3">
        <v>6</v>
      </c>
      <c r="H46" s="1" t="s">
        <v>325</v>
      </c>
      <c r="I46" s="3">
        <v>3</v>
      </c>
      <c r="J46" s="3" t="s">
        <v>132</v>
      </c>
    </row>
    <row r="47" spans="1:10" x14ac:dyDescent="0.15">
      <c r="A47" s="2">
        <f t="shared" si="1"/>
        <v>20404</v>
      </c>
      <c r="B47" s="3">
        <v>2</v>
      </c>
      <c r="C47" s="3">
        <f t="shared" si="0"/>
        <v>20405</v>
      </c>
      <c r="D47" s="22" t="str">
        <f>"newbie_name_"&amp;表6[[#This Row],[任务ID]]</f>
        <v>newbie_name_20404</v>
      </c>
      <c r="E47" s="3">
        <v>20</v>
      </c>
      <c r="F47" s="3">
        <v>0</v>
      </c>
      <c r="G47" s="3">
        <v>8</v>
      </c>
      <c r="H47" s="1" t="s">
        <v>326</v>
      </c>
      <c r="I47" s="3">
        <v>4</v>
      </c>
      <c r="J47" s="3" t="s">
        <v>133</v>
      </c>
    </row>
    <row r="48" spans="1:10" x14ac:dyDescent="0.15">
      <c r="A48" s="2">
        <f t="shared" si="1"/>
        <v>20405</v>
      </c>
      <c r="B48" s="3">
        <v>2</v>
      </c>
      <c r="C48" s="3">
        <f t="shared" si="0"/>
        <v>20406</v>
      </c>
      <c r="D48" s="22" t="str">
        <f>"newbie_name_"&amp;表6[[#This Row],[任务ID]]</f>
        <v>newbie_name_20405</v>
      </c>
      <c r="E48" s="3">
        <v>20</v>
      </c>
      <c r="F48" s="3">
        <v>0</v>
      </c>
      <c r="G48" s="3">
        <v>10</v>
      </c>
      <c r="H48" s="1" t="s">
        <v>326</v>
      </c>
      <c r="I48" s="3">
        <v>5</v>
      </c>
      <c r="J48" s="3" t="s">
        <v>134</v>
      </c>
    </row>
    <row r="49" spans="1:10" x14ac:dyDescent="0.15">
      <c r="A49" s="2">
        <f t="shared" si="1"/>
        <v>20406</v>
      </c>
      <c r="B49" s="3">
        <v>2</v>
      </c>
      <c r="C49" s="3">
        <f t="shared" si="0"/>
        <v>20407</v>
      </c>
      <c r="D49" s="22" t="str">
        <f>"newbie_name_"&amp;表6[[#This Row],[任务ID]]</f>
        <v>newbie_name_20406</v>
      </c>
      <c r="E49" s="3">
        <v>20</v>
      </c>
      <c r="F49" s="3">
        <v>0</v>
      </c>
      <c r="G49" s="3">
        <v>12</v>
      </c>
      <c r="H49" s="1" t="s">
        <v>326</v>
      </c>
      <c r="I49" s="3">
        <v>6</v>
      </c>
      <c r="J49" s="3" t="s">
        <v>135</v>
      </c>
    </row>
    <row r="50" spans="1:10" x14ac:dyDescent="0.15">
      <c r="A50" s="2">
        <f t="shared" si="1"/>
        <v>20407</v>
      </c>
      <c r="B50" s="3">
        <v>2</v>
      </c>
      <c r="C50" s="3">
        <f t="shared" si="0"/>
        <v>20408</v>
      </c>
      <c r="D50" s="22" t="str">
        <f>"newbie_name_"&amp;表6[[#This Row],[任务ID]]</f>
        <v>newbie_name_20407</v>
      </c>
      <c r="E50" s="3">
        <v>20</v>
      </c>
      <c r="F50" s="3">
        <v>0</v>
      </c>
      <c r="G50" s="3">
        <v>14</v>
      </c>
      <c r="H50" s="1" t="s">
        <v>326</v>
      </c>
      <c r="I50" s="3">
        <v>7</v>
      </c>
      <c r="J50" s="3" t="s">
        <v>136</v>
      </c>
    </row>
    <row r="51" spans="1:10" x14ac:dyDescent="0.15">
      <c r="A51" s="2">
        <f t="shared" si="1"/>
        <v>20408</v>
      </c>
      <c r="B51" s="3">
        <v>2</v>
      </c>
      <c r="C51" s="3">
        <f t="shared" si="0"/>
        <v>0</v>
      </c>
      <c r="D51" s="22" t="str">
        <f>"newbie_name_"&amp;表6[[#This Row],[任务ID]]</f>
        <v>newbie_name_20408</v>
      </c>
      <c r="E51" s="3">
        <v>20</v>
      </c>
      <c r="F51" s="3">
        <v>0</v>
      </c>
      <c r="G51" s="3">
        <v>16</v>
      </c>
      <c r="H51" s="1" t="s">
        <v>326</v>
      </c>
      <c r="I51" s="3">
        <v>8</v>
      </c>
      <c r="J51" s="3" t="s">
        <v>137</v>
      </c>
    </row>
    <row r="52" spans="1:10" x14ac:dyDescent="0.15">
      <c r="A52" s="2">
        <f t="shared" si="1"/>
        <v>20500</v>
      </c>
      <c r="B52" s="3">
        <v>2</v>
      </c>
      <c r="C52" s="3">
        <f t="shared" si="0"/>
        <v>20501</v>
      </c>
      <c r="D52" s="22" t="str">
        <f>"newbie_name_"&amp;表6[[#This Row],[任务ID]]</f>
        <v>newbie_name_20500</v>
      </c>
      <c r="E52" s="3">
        <v>4</v>
      </c>
      <c r="F52" s="3">
        <v>0</v>
      </c>
      <c r="G52" s="3">
        <v>160</v>
      </c>
      <c r="H52" s="1" t="s">
        <v>327</v>
      </c>
      <c r="I52" s="3">
        <v>2</v>
      </c>
      <c r="J52" s="3" t="s">
        <v>138</v>
      </c>
    </row>
    <row r="53" spans="1:10" x14ac:dyDescent="0.15">
      <c r="A53" s="2">
        <f t="shared" si="1"/>
        <v>20501</v>
      </c>
      <c r="B53" s="3">
        <v>2</v>
      </c>
      <c r="C53" s="3">
        <f t="shared" si="0"/>
        <v>20502</v>
      </c>
      <c r="D53" s="22" t="str">
        <f>"newbie_name_"&amp;表6[[#This Row],[任务ID]]</f>
        <v>newbie_name_20501</v>
      </c>
      <c r="E53" s="3">
        <v>4</v>
      </c>
      <c r="F53" s="3">
        <v>0</v>
      </c>
      <c r="G53" s="3">
        <v>180</v>
      </c>
      <c r="H53" s="1" t="s">
        <v>327</v>
      </c>
      <c r="I53" s="3">
        <v>2</v>
      </c>
      <c r="J53" s="3" t="s">
        <v>139</v>
      </c>
    </row>
    <row r="54" spans="1:10" x14ac:dyDescent="0.15">
      <c r="A54" s="2">
        <f t="shared" si="1"/>
        <v>20502</v>
      </c>
      <c r="B54" s="3">
        <v>2</v>
      </c>
      <c r="C54" s="3">
        <f t="shared" si="0"/>
        <v>20503</v>
      </c>
      <c r="D54" s="22" t="str">
        <f>"newbie_name_"&amp;表6[[#This Row],[任务ID]]</f>
        <v>newbie_name_20502</v>
      </c>
      <c r="E54" s="3">
        <v>4</v>
      </c>
      <c r="F54" s="3">
        <v>0</v>
      </c>
      <c r="G54" s="3">
        <v>200</v>
      </c>
      <c r="H54" s="1" t="s">
        <v>327</v>
      </c>
      <c r="I54" s="3">
        <v>2</v>
      </c>
      <c r="J54" s="3" t="s">
        <v>140</v>
      </c>
    </row>
    <row r="55" spans="1:10" x14ac:dyDescent="0.15">
      <c r="A55" s="2">
        <f t="shared" si="1"/>
        <v>20503</v>
      </c>
      <c r="B55" s="3">
        <v>2</v>
      </c>
      <c r="C55" s="3">
        <f t="shared" si="0"/>
        <v>20504</v>
      </c>
      <c r="D55" s="22" t="str">
        <f>"newbie_name_"&amp;表6[[#This Row],[任务ID]]</f>
        <v>newbie_name_20503</v>
      </c>
      <c r="E55" s="3">
        <v>4</v>
      </c>
      <c r="F55" s="3">
        <v>0</v>
      </c>
      <c r="G55" s="3">
        <v>300</v>
      </c>
      <c r="H55" s="1" t="s">
        <v>327</v>
      </c>
      <c r="I55" s="3">
        <v>2</v>
      </c>
      <c r="J55" s="3" t="s">
        <v>141</v>
      </c>
    </row>
    <row r="56" spans="1:10" x14ac:dyDescent="0.15">
      <c r="A56" s="2">
        <f t="shared" si="1"/>
        <v>20504</v>
      </c>
      <c r="B56" s="3">
        <v>2</v>
      </c>
      <c r="C56" s="3">
        <f t="shared" si="0"/>
        <v>20505</v>
      </c>
      <c r="D56" s="22" t="str">
        <f>"newbie_name_"&amp;表6[[#This Row],[任务ID]]</f>
        <v>newbie_name_20504</v>
      </c>
      <c r="E56" s="3">
        <v>4</v>
      </c>
      <c r="F56" s="3">
        <v>0</v>
      </c>
      <c r="G56" s="3">
        <v>400</v>
      </c>
      <c r="H56" s="1" t="s">
        <v>328</v>
      </c>
      <c r="I56" s="3">
        <v>2</v>
      </c>
      <c r="J56" s="3" t="s">
        <v>142</v>
      </c>
    </row>
    <row r="57" spans="1:10" x14ac:dyDescent="0.15">
      <c r="A57" s="2">
        <f t="shared" si="1"/>
        <v>20505</v>
      </c>
      <c r="B57" s="3">
        <v>2</v>
      </c>
      <c r="C57" s="3">
        <f t="shared" si="0"/>
        <v>20506</v>
      </c>
      <c r="D57" s="22" t="str">
        <f>"newbie_name_"&amp;表6[[#This Row],[任务ID]]</f>
        <v>newbie_name_20505</v>
      </c>
      <c r="E57" s="3">
        <v>4</v>
      </c>
      <c r="F57" s="3">
        <v>0</v>
      </c>
      <c r="G57" s="3">
        <v>500</v>
      </c>
      <c r="H57" s="1" t="s">
        <v>328</v>
      </c>
      <c r="I57" s="3">
        <v>3</v>
      </c>
      <c r="J57" s="3" t="s">
        <v>143</v>
      </c>
    </row>
    <row r="58" spans="1:10" x14ac:dyDescent="0.15">
      <c r="A58" s="2">
        <f t="shared" si="1"/>
        <v>20506</v>
      </c>
      <c r="B58" s="3">
        <v>2</v>
      </c>
      <c r="C58" s="3">
        <f t="shared" si="0"/>
        <v>20507</v>
      </c>
      <c r="D58" s="22" t="str">
        <f>"newbie_name_"&amp;表6[[#This Row],[任务ID]]</f>
        <v>newbie_name_20506</v>
      </c>
      <c r="E58" s="3">
        <v>4</v>
      </c>
      <c r="F58" s="3">
        <v>0</v>
      </c>
      <c r="G58" s="3">
        <v>600</v>
      </c>
      <c r="H58" s="1" t="s">
        <v>329</v>
      </c>
      <c r="I58" s="3">
        <v>4</v>
      </c>
      <c r="J58" s="3" t="s">
        <v>144</v>
      </c>
    </row>
    <row r="59" spans="1:10" x14ac:dyDescent="0.15">
      <c r="A59" s="2">
        <f t="shared" si="1"/>
        <v>20507</v>
      </c>
      <c r="B59" s="3">
        <v>2</v>
      </c>
      <c r="C59" s="3">
        <f t="shared" si="0"/>
        <v>20508</v>
      </c>
      <c r="D59" s="22" t="str">
        <f>"newbie_name_"&amp;表6[[#This Row],[任务ID]]</f>
        <v>newbie_name_20507</v>
      </c>
      <c r="E59" s="3">
        <v>4</v>
      </c>
      <c r="F59" s="3">
        <v>0</v>
      </c>
      <c r="G59" s="3">
        <v>700</v>
      </c>
      <c r="H59" s="1" t="s">
        <v>329</v>
      </c>
      <c r="I59" s="3">
        <v>5</v>
      </c>
      <c r="J59" s="3" t="s">
        <v>145</v>
      </c>
    </row>
    <row r="60" spans="1:10" x14ac:dyDescent="0.15">
      <c r="A60" s="2">
        <f t="shared" si="1"/>
        <v>20508</v>
      </c>
      <c r="B60" s="3">
        <v>2</v>
      </c>
      <c r="C60" s="3">
        <f t="shared" si="0"/>
        <v>20509</v>
      </c>
      <c r="D60" s="22" t="str">
        <f>"newbie_name_"&amp;表6[[#This Row],[任务ID]]</f>
        <v>newbie_name_20508</v>
      </c>
      <c r="E60" s="3">
        <v>4</v>
      </c>
      <c r="F60" s="3">
        <v>0</v>
      </c>
      <c r="G60" s="3">
        <v>800</v>
      </c>
      <c r="H60" s="1" t="s">
        <v>330</v>
      </c>
      <c r="I60" s="3">
        <v>6</v>
      </c>
      <c r="J60" s="3" t="s">
        <v>146</v>
      </c>
    </row>
    <row r="61" spans="1:10" x14ac:dyDescent="0.15">
      <c r="A61" s="2">
        <f t="shared" si="1"/>
        <v>20509</v>
      </c>
      <c r="B61" s="3">
        <v>2</v>
      </c>
      <c r="C61" s="3">
        <f t="shared" si="0"/>
        <v>20510</v>
      </c>
      <c r="D61" s="22" t="str">
        <f>"newbie_name_"&amp;表6[[#This Row],[任务ID]]</f>
        <v>newbie_name_20509</v>
      </c>
      <c r="E61" s="3">
        <v>4</v>
      </c>
      <c r="F61" s="3">
        <v>0</v>
      </c>
      <c r="G61" s="3">
        <v>900</v>
      </c>
      <c r="H61" s="1" t="s">
        <v>330</v>
      </c>
      <c r="I61" s="3">
        <v>7</v>
      </c>
      <c r="J61" s="3" t="s">
        <v>147</v>
      </c>
    </row>
    <row r="62" spans="1:10" x14ac:dyDescent="0.15">
      <c r="A62" s="2">
        <f t="shared" si="1"/>
        <v>20510</v>
      </c>
      <c r="B62" s="3">
        <v>2</v>
      </c>
      <c r="C62" s="3">
        <f t="shared" si="0"/>
        <v>0</v>
      </c>
      <c r="D62" s="22" t="str">
        <f>"newbie_name_"&amp;表6[[#This Row],[任务ID]]</f>
        <v>newbie_name_20510</v>
      </c>
      <c r="E62" s="3">
        <v>4</v>
      </c>
      <c r="F62" s="3">
        <v>0</v>
      </c>
      <c r="G62" s="3">
        <v>1000</v>
      </c>
      <c r="H62" s="1" t="s">
        <v>330</v>
      </c>
      <c r="I62" s="3">
        <v>8</v>
      </c>
      <c r="J62" s="3" t="s">
        <v>148</v>
      </c>
    </row>
    <row r="63" spans="1:10" x14ac:dyDescent="0.15">
      <c r="A63" s="2">
        <f t="shared" si="1"/>
        <v>20600</v>
      </c>
      <c r="B63" s="3">
        <v>2</v>
      </c>
      <c r="C63" s="3">
        <f t="shared" si="0"/>
        <v>20601</v>
      </c>
      <c r="D63" s="22" t="str">
        <f>"newbie_name_"&amp;表6[[#This Row],[任务ID]]</f>
        <v>newbie_name_20600</v>
      </c>
      <c r="E63" s="23">
        <v>2</v>
      </c>
      <c r="F63" s="23">
        <v>3</v>
      </c>
      <c r="G63" s="3">
        <v>10</v>
      </c>
      <c r="H63" s="1" t="s">
        <v>331</v>
      </c>
      <c r="I63" s="3">
        <v>2</v>
      </c>
      <c r="J63" s="22" t="s">
        <v>149</v>
      </c>
    </row>
    <row r="64" spans="1:10" x14ac:dyDescent="0.15">
      <c r="A64" s="2">
        <f t="shared" si="1"/>
        <v>20601</v>
      </c>
      <c r="B64" s="3">
        <v>2</v>
      </c>
      <c r="C64" s="3">
        <f t="shared" si="0"/>
        <v>20602</v>
      </c>
      <c r="D64" s="22" t="str">
        <f>"newbie_name_"&amp;表6[[#This Row],[任务ID]]</f>
        <v>newbie_name_20601</v>
      </c>
      <c r="E64" s="23">
        <v>2</v>
      </c>
      <c r="F64" s="23">
        <v>3</v>
      </c>
      <c r="G64" s="3">
        <v>20</v>
      </c>
      <c r="H64" s="1" t="s">
        <v>331</v>
      </c>
      <c r="I64" s="3">
        <v>2</v>
      </c>
      <c r="J64" s="22" t="s">
        <v>150</v>
      </c>
    </row>
    <row r="65" spans="1:10" x14ac:dyDescent="0.15">
      <c r="A65" s="2">
        <f t="shared" si="1"/>
        <v>20602</v>
      </c>
      <c r="B65" s="3">
        <v>2</v>
      </c>
      <c r="C65" s="3">
        <f t="shared" si="0"/>
        <v>20603</v>
      </c>
      <c r="D65" s="22" t="str">
        <f>"newbie_name_"&amp;表6[[#This Row],[任务ID]]</f>
        <v>newbie_name_20602</v>
      </c>
      <c r="E65" s="23">
        <v>2</v>
      </c>
      <c r="F65" s="23">
        <v>3</v>
      </c>
      <c r="G65" s="3">
        <v>30</v>
      </c>
      <c r="H65" s="1" t="s">
        <v>331</v>
      </c>
      <c r="I65" s="3">
        <v>2</v>
      </c>
      <c r="J65" s="22" t="s">
        <v>151</v>
      </c>
    </row>
    <row r="66" spans="1:10" x14ac:dyDescent="0.15">
      <c r="A66" s="2">
        <f t="shared" si="1"/>
        <v>20603</v>
      </c>
      <c r="B66" s="3">
        <v>2</v>
      </c>
      <c r="C66" s="3">
        <f t="shared" si="0"/>
        <v>20604</v>
      </c>
      <c r="D66" s="22" t="str">
        <f>"newbie_name_"&amp;表6[[#This Row],[任务ID]]</f>
        <v>newbie_name_20603</v>
      </c>
      <c r="E66" s="23">
        <v>2</v>
      </c>
      <c r="F66" s="23">
        <v>3</v>
      </c>
      <c r="G66" s="3">
        <v>40</v>
      </c>
      <c r="H66" s="1" t="s">
        <v>331</v>
      </c>
      <c r="I66" s="3">
        <v>2</v>
      </c>
      <c r="J66" s="22" t="s">
        <v>152</v>
      </c>
    </row>
    <row r="67" spans="1:10" x14ac:dyDescent="0.15">
      <c r="A67" s="2">
        <f t="shared" si="1"/>
        <v>20604</v>
      </c>
      <c r="B67" s="3">
        <v>2</v>
      </c>
      <c r="C67" s="3">
        <f t="shared" si="0"/>
        <v>20605</v>
      </c>
      <c r="D67" s="22" t="str">
        <f>"newbie_name_"&amp;表6[[#This Row],[任务ID]]</f>
        <v>newbie_name_20604</v>
      </c>
      <c r="E67" s="23">
        <v>2</v>
      </c>
      <c r="F67" s="23">
        <v>3</v>
      </c>
      <c r="G67" s="3">
        <v>60</v>
      </c>
      <c r="H67" s="1" t="s">
        <v>331</v>
      </c>
      <c r="I67" s="3">
        <v>2</v>
      </c>
      <c r="J67" s="22" t="s">
        <v>153</v>
      </c>
    </row>
    <row r="68" spans="1:10" x14ac:dyDescent="0.15">
      <c r="A68" s="2">
        <f t="shared" si="1"/>
        <v>20605</v>
      </c>
      <c r="B68" s="3">
        <v>2</v>
      </c>
      <c r="C68" s="3">
        <f t="shared" si="0"/>
        <v>20606</v>
      </c>
      <c r="D68" s="22" t="str">
        <f>"newbie_name_"&amp;表6[[#This Row],[任务ID]]</f>
        <v>newbie_name_20605</v>
      </c>
      <c r="E68" s="23">
        <v>2</v>
      </c>
      <c r="F68" s="23">
        <v>3</v>
      </c>
      <c r="G68" s="3">
        <v>80</v>
      </c>
      <c r="H68" s="1" t="s">
        <v>332</v>
      </c>
      <c r="I68" s="3">
        <v>3</v>
      </c>
      <c r="J68" s="22" t="s">
        <v>154</v>
      </c>
    </row>
    <row r="69" spans="1:10" x14ac:dyDescent="0.15">
      <c r="A69" s="2">
        <f t="shared" si="1"/>
        <v>20606</v>
      </c>
      <c r="B69" s="3">
        <v>2</v>
      </c>
      <c r="C69" s="3">
        <f t="shared" ref="C69:C132" si="2">IF(OR(E69&lt;&gt;E70,E69=0),0,A70)</f>
        <v>20607</v>
      </c>
      <c r="D69" s="22" t="str">
        <f>"newbie_name_"&amp;表6[[#This Row],[任务ID]]</f>
        <v>newbie_name_20606</v>
      </c>
      <c r="E69" s="23">
        <v>2</v>
      </c>
      <c r="F69" s="23">
        <v>3</v>
      </c>
      <c r="G69" s="3">
        <v>100</v>
      </c>
      <c r="H69" s="1" t="s">
        <v>332</v>
      </c>
      <c r="I69" s="3">
        <v>4</v>
      </c>
      <c r="J69" s="22" t="s">
        <v>155</v>
      </c>
    </row>
    <row r="70" spans="1:10" x14ac:dyDescent="0.15">
      <c r="A70" s="2">
        <f t="shared" ref="A70:A133" si="3">IF(B70&lt;&gt;B69,B70*10000,IF(OR(E70&lt;&gt;E69,E70=0),INT(A69/100)*100+100,A69+1))</f>
        <v>20607</v>
      </c>
      <c r="B70" s="3">
        <v>2</v>
      </c>
      <c r="C70" s="3">
        <f t="shared" si="2"/>
        <v>20608</v>
      </c>
      <c r="D70" s="22" t="str">
        <f>"newbie_name_"&amp;表6[[#This Row],[任务ID]]</f>
        <v>newbie_name_20607</v>
      </c>
      <c r="E70" s="23">
        <v>2</v>
      </c>
      <c r="F70" s="23">
        <v>3</v>
      </c>
      <c r="G70" s="3">
        <v>120</v>
      </c>
      <c r="H70" s="1" t="s">
        <v>332</v>
      </c>
      <c r="I70" s="3">
        <v>5</v>
      </c>
      <c r="J70" s="22" t="s">
        <v>156</v>
      </c>
    </row>
    <row r="71" spans="1:10" x14ac:dyDescent="0.15">
      <c r="A71" s="2">
        <f t="shared" si="3"/>
        <v>20608</v>
      </c>
      <c r="B71" s="3">
        <v>2</v>
      </c>
      <c r="C71" s="3">
        <f t="shared" si="2"/>
        <v>20609</v>
      </c>
      <c r="D71" s="22" t="str">
        <f>"newbie_name_"&amp;表6[[#This Row],[任务ID]]</f>
        <v>newbie_name_20608</v>
      </c>
      <c r="E71" s="23">
        <v>2</v>
      </c>
      <c r="F71" s="23">
        <v>3</v>
      </c>
      <c r="G71" s="3">
        <v>140</v>
      </c>
      <c r="H71" s="1" t="s">
        <v>332</v>
      </c>
      <c r="I71" s="3">
        <v>6</v>
      </c>
      <c r="J71" s="22" t="s">
        <v>157</v>
      </c>
    </row>
    <row r="72" spans="1:10" x14ac:dyDescent="0.15">
      <c r="A72" s="2">
        <f t="shared" si="3"/>
        <v>20609</v>
      </c>
      <c r="B72" s="3">
        <v>2</v>
      </c>
      <c r="C72" s="3">
        <f t="shared" si="2"/>
        <v>20610</v>
      </c>
      <c r="D72" s="22" t="str">
        <f>"newbie_name_"&amp;表6[[#This Row],[任务ID]]</f>
        <v>newbie_name_20609</v>
      </c>
      <c r="E72" s="23">
        <v>2</v>
      </c>
      <c r="F72" s="23">
        <v>3</v>
      </c>
      <c r="G72" s="3">
        <v>160</v>
      </c>
      <c r="H72" s="1" t="s">
        <v>332</v>
      </c>
      <c r="I72" s="3">
        <v>7</v>
      </c>
      <c r="J72" s="22" t="s">
        <v>158</v>
      </c>
    </row>
    <row r="73" spans="1:10" x14ac:dyDescent="0.15">
      <c r="A73" s="2">
        <f t="shared" si="3"/>
        <v>20610</v>
      </c>
      <c r="B73" s="3">
        <v>2</v>
      </c>
      <c r="C73" s="3">
        <f t="shared" si="2"/>
        <v>0</v>
      </c>
      <c r="D73" s="22" t="str">
        <f>"newbie_name_"&amp;表6[[#This Row],[任务ID]]</f>
        <v>newbie_name_20610</v>
      </c>
      <c r="E73" s="23">
        <v>2</v>
      </c>
      <c r="F73" s="23">
        <v>3</v>
      </c>
      <c r="G73" s="3">
        <v>200</v>
      </c>
      <c r="H73" s="1" t="s">
        <v>332</v>
      </c>
      <c r="I73" s="3">
        <v>8</v>
      </c>
      <c r="J73" s="22" t="s">
        <v>159</v>
      </c>
    </row>
    <row r="74" spans="1:10" x14ac:dyDescent="0.15">
      <c r="A74" s="2">
        <f t="shared" si="3"/>
        <v>30000</v>
      </c>
      <c r="B74" s="23">
        <v>3</v>
      </c>
      <c r="C74" s="3">
        <f t="shared" si="2"/>
        <v>0</v>
      </c>
      <c r="D74" s="22" t="str">
        <f>"newbie_name_"&amp;表6[[#This Row],[任务ID]]</f>
        <v>newbie_name_30000</v>
      </c>
      <c r="E74" s="23">
        <v>13</v>
      </c>
      <c r="F74" s="23">
        <v>0</v>
      </c>
      <c r="G74" s="23">
        <v>3</v>
      </c>
      <c r="H74" s="1" t="s">
        <v>74</v>
      </c>
      <c r="I74" s="3">
        <v>3</v>
      </c>
      <c r="J74" s="23" t="s">
        <v>160</v>
      </c>
    </row>
    <row r="75" spans="1:10" x14ac:dyDescent="0.15">
      <c r="A75" s="2">
        <f t="shared" si="3"/>
        <v>30100</v>
      </c>
      <c r="B75" s="23">
        <v>3</v>
      </c>
      <c r="C75" s="3">
        <f t="shared" si="2"/>
        <v>0</v>
      </c>
      <c r="D75" s="22" t="str">
        <f>"newbie_name_"&amp;表6[[#This Row],[任务ID]]</f>
        <v>newbie_name_30100</v>
      </c>
      <c r="E75" s="3">
        <v>19</v>
      </c>
      <c r="F75" s="3">
        <v>1</v>
      </c>
      <c r="G75" s="3">
        <v>1</v>
      </c>
      <c r="H75" s="1" t="s">
        <v>333</v>
      </c>
      <c r="I75" s="3">
        <v>3</v>
      </c>
      <c r="J75" s="23" t="s">
        <v>161</v>
      </c>
    </row>
    <row r="76" spans="1:10" x14ac:dyDescent="0.15">
      <c r="A76" s="2">
        <f t="shared" si="3"/>
        <v>30200</v>
      </c>
      <c r="B76" s="23">
        <v>3</v>
      </c>
      <c r="C76" s="3">
        <f t="shared" si="2"/>
        <v>0</v>
      </c>
      <c r="D76" s="22" t="str">
        <f>"newbie_name_"&amp;表6[[#This Row],[任务ID]]</f>
        <v>newbie_name_30200</v>
      </c>
      <c r="E76" s="23">
        <v>0</v>
      </c>
      <c r="F76" s="23">
        <v>0</v>
      </c>
      <c r="G76" s="23">
        <v>500</v>
      </c>
      <c r="H76" s="1" t="s">
        <v>75</v>
      </c>
      <c r="I76" s="3">
        <v>3</v>
      </c>
      <c r="J76" s="23" t="s">
        <v>162</v>
      </c>
    </row>
    <row r="77" spans="1:10" x14ac:dyDescent="0.15">
      <c r="A77" s="2">
        <f t="shared" si="3"/>
        <v>30300</v>
      </c>
      <c r="B77" s="23">
        <v>3</v>
      </c>
      <c r="C77" s="3">
        <f t="shared" si="2"/>
        <v>0</v>
      </c>
      <c r="D77" s="22" t="str">
        <f>"newbie_name_"&amp;表6[[#This Row],[任务ID]]</f>
        <v>newbie_name_30300</v>
      </c>
      <c r="E77" s="23">
        <v>0</v>
      </c>
      <c r="F77" s="23">
        <v>0</v>
      </c>
      <c r="G77" s="23">
        <v>300</v>
      </c>
      <c r="H77" s="1" t="s">
        <v>76</v>
      </c>
      <c r="I77" s="3">
        <v>3</v>
      </c>
      <c r="J77" s="23" t="s">
        <v>163</v>
      </c>
    </row>
    <row r="78" spans="1:10" x14ac:dyDescent="0.15">
      <c r="A78" s="2">
        <f t="shared" si="3"/>
        <v>30400</v>
      </c>
      <c r="B78" s="23">
        <v>3</v>
      </c>
      <c r="C78" s="3">
        <f t="shared" si="2"/>
        <v>30401</v>
      </c>
      <c r="D78" s="22" t="str">
        <f>"newbie_name_"&amp;表6[[#This Row],[任务ID]]</f>
        <v>newbie_name_30400</v>
      </c>
      <c r="E78" s="23">
        <v>22</v>
      </c>
      <c r="F78" s="23">
        <v>0</v>
      </c>
      <c r="G78" s="23">
        <v>20</v>
      </c>
      <c r="H78" s="1" t="s">
        <v>334</v>
      </c>
      <c r="I78" s="3">
        <v>3</v>
      </c>
      <c r="J78" s="23" t="s">
        <v>164</v>
      </c>
    </row>
    <row r="79" spans="1:10" x14ac:dyDescent="0.15">
      <c r="A79" s="2">
        <f t="shared" si="3"/>
        <v>30401</v>
      </c>
      <c r="B79" s="23">
        <v>3</v>
      </c>
      <c r="C79" s="3">
        <f t="shared" si="2"/>
        <v>30402</v>
      </c>
      <c r="D79" s="22" t="str">
        <f>"newbie_name_"&amp;表6[[#This Row],[任务ID]]</f>
        <v>newbie_name_30401</v>
      </c>
      <c r="E79" s="23">
        <v>22</v>
      </c>
      <c r="F79" s="23">
        <v>0</v>
      </c>
      <c r="G79" s="23">
        <v>30</v>
      </c>
      <c r="H79" s="1" t="s">
        <v>335</v>
      </c>
      <c r="I79" s="3">
        <v>3</v>
      </c>
      <c r="J79" s="23" t="s">
        <v>165</v>
      </c>
    </row>
    <row r="80" spans="1:10" x14ac:dyDescent="0.15">
      <c r="A80" s="2">
        <f t="shared" si="3"/>
        <v>30402</v>
      </c>
      <c r="B80" s="23">
        <v>3</v>
      </c>
      <c r="C80" s="3">
        <f t="shared" si="2"/>
        <v>30403</v>
      </c>
      <c r="D80" s="22" t="str">
        <f>"newbie_name_"&amp;表6[[#This Row],[任务ID]]</f>
        <v>newbie_name_30402</v>
      </c>
      <c r="E80" s="23">
        <v>22</v>
      </c>
      <c r="F80" s="23">
        <v>0</v>
      </c>
      <c r="G80" s="23">
        <v>40</v>
      </c>
      <c r="H80" s="1" t="s">
        <v>336</v>
      </c>
      <c r="I80" s="3">
        <v>3</v>
      </c>
      <c r="J80" s="23" t="s">
        <v>166</v>
      </c>
    </row>
    <row r="81" spans="1:10" x14ac:dyDescent="0.15">
      <c r="A81" s="2">
        <f t="shared" si="3"/>
        <v>30403</v>
      </c>
      <c r="B81" s="23">
        <v>3</v>
      </c>
      <c r="C81" s="3">
        <f t="shared" si="2"/>
        <v>30404</v>
      </c>
      <c r="D81" s="22" t="str">
        <f>"newbie_name_"&amp;表6[[#This Row],[任务ID]]</f>
        <v>newbie_name_30403</v>
      </c>
      <c r="E81" s="23">
        <v>22</v>
      </c>
      <c r="F81" s="23">
        <v>0</v>
      </c>
      <c r="G81" s="23">
        <v>45</v>
      </c>
      <c r="H81" s="1" t="s">
        <v>337</v>
      </c>
      <c r="I81" s="3">
        <v>3</v>
      </c>
      <c r="J81" s="23" t="s">
        <v>167</v>
      </c>
    </row>
    <row r="82" spans="1:10" x14ac:dyDescent="0.15">
      <c r="A82" s="2">
        <f t="shared" si="3"/>
        <v>30404</v>
      </c>
      <c r="B82" s="23">
        <v>3</v>
      </c>
      <c r="C82" s="3">
        <f t="shared" si="2"/>
        <v>30405</v>
      </c>
      <c r="D82" s="22" t="str">
        <f>"newbie_name_"&amp;表6[[#This Row],[任务ID]]</f>
        <v>newbie_name_30404</v>
      </c>
      <c r="E82" s="23">
        <v>22</v>
      </c>
      <c r="F82" s="23">
        <v>0</v>
      </c>
      <c r="G82" s="23">
        <v>50</v>
      </c>
      <c r="H82" s="1" t="s">
        <v>338</v>
      </c>
      <c r="I82" s="3">
        <v>3</v>
      </c>
      <c r="J82" s="23" t="s">
        <v>168</v>
      </c>
    </row>
    <row r="83" spans="1:10" x14ac:dyDescent="0.15">
      <c r="A83" s="2">
        <f t="shared" si="3"/>
        <v>30405</v>
      </c>
      <c r="B83" s="23">
        <v>3</v>
      </c>
      <c r="C83" s="3">
        <f t="shared" si="2"/>
        <v>30406</v>
      </c>
      <c r="D83" s="22" t="str">
        <f>"newbie_name_"&amp;表6[[#This Row],[任务ID]]</f>
        <v>newbie_name_30405</v>
      </c>
      <c r="E83" s="23">
        <v>22</v>
      </c>
      <c r="F83" s="23">
        <v>0</v>
      </c>
      <c r="G83" s="23">
        <v>55</v>
      </c>
      <c r="H83" s="1" t="s">
        <v>339</v>
      </c>
      <c r="I83" s="3">
        <v>4</v>
      </c>
      <c r="J83" s="23" t="s">
        <v>169</v>
      </c>
    </row>
    <row r="84" spans="1:10" x14ac:dyDescent="0.15">
      <c r="A84" s="2">
        <f t="shared" si="3"/>
        <v>30406</v>
      </c>
      <c r="B84" s="23">
        <v>3</v>
      </c>
      <c r="C84" s="3">
        <f t="shared" si="2"/>
        <v>30407</v>
      </c>
      <c r="D84" s="22" t="str">
        <f>"newbie_name_"&amp;表6[[#This Row],[任务ID]]</f>
        <v>newbie_name_30406</v>
      </c>
      <c r="E84" s="23">
        <v>22</v>
      </c>
      <c r="F84" s="23">
        <v>0</v>
      </c>
      <c r="G84" s="23">
        <v>60</v>
      </c>
      <c r="H84" s="1" t="s">
        <v>340</v>
      </c>
      <c r="I84" s="3">
        <v>5</v>
      </c>
      <c r="J84" s="23" t="s">
        <v>170</v>
      </c>
    </row>
    <row r="85" spans="1:10" x14ac:dyDescent="0.15">
      <c r="A85" s="2">
        <f t="shared" si="3"/>
        <v>30407</v>
      </c>
      <c r="B85" s="23">
        <v>3</v>
      </c>
      <c r="C85" s="24">
        <f t="shared" si="2"/>
        <v>30408</v>
      </c>
      <c r="D85" s="22" t="str">
        <f>"newbie_name_"&amp;表6[[#This Row],[任务ID]]</f>
        <v>newbie_name_30407</v>
      </c>
      <c r="E85" s="23">
        <v>22</v>
      </c>
      <c r="F85" s="23">
        <v>0</v>
      </c>
      <c r="G85" s="23">
        <v>65</v>
      </c>
      <c r="H85" t="s">
        <v>341</v>
      </c>
      <c r="I85" s="3">
        <v>6</v>
      </c>
      <c r="J85" s="23" t="s">
        <v>171</v>
      </c>
    </row>
    <row r="86" spans="1:10" x14ac:dyDescent="0.15">
      <c r="A86" s="2">
        <f t="shared" si="3"/>
        <v>30408</v>
      </c>
      <c r="B86" s="23">
        <v>3</v>
      </c>
      <c r="C86" s="24">
        <f t="shared" si="2"/>
        <v>0</v>
      </c>
      <c r="D86" s="22" t="str">
        <f>"newbie_name_"&amp;表6[[#This Row],[任务ID]]</f>
        <v>newbie_name_30408</v>
      </c>
      <c r="E86" s="23">
        <v>22</v>
      </c>
      <c r="F86" s="23">
        <v>0</v>
      </c>
      <c r="G86" s="23">
        <v>70</v>
      </c>
      <c r="H86" t="s">
        <v>342</v>
      </c>
      <c r="I86" s="3">
        <v>7</v>
      </c>
      <c r="J86" s="23" t="s">
        <v>172</v>
      </c>
    </row>
    <row r="87" spans="1:10" x14ac:dyDescent="0.15">
      <c r="A87" s="2">
        <f t="shared" si="3"/>
        <v>30500</v>
      </c>
      <c r="B87" s="23">
        <v>3</v>
      </c>
      <c r="C87" s="24">
        <f t="shared" si="2"/>
        <v>30501</v>
      </c>
      <c r="D87" s="22" t="str">
        <f>"newbie_name_"&amp;表6[[#This Row],[任务ID]]</f>
        <v>newbie_name_30500</v>
      </c>
      <c r="E87" s="3">
        <v>23</v>
      </c>
      <c r="F87" s="3">
        <v>0</v>
      </c>
      <c r="G87" s="23">
        <v>10</v>
      </c>
      <c r="H87" t="s">
        <v>343</v>
      </c>
      <c r="I87" s="3">
        <v>3</v>
      </c>
      <c r="J87" s="23" t="s">
        <v>173</v>
      </c>
    </row>
    <row r="88" spans="1:10" x14ac:dyDescent="0.15">
      <c r="A88" s="2">
        <f t="shared" si="3"/>
        <v>30501</v>
      </c>
      <c r="B88" s="23">
        <v>3</v>
      </c>
      <c r="C88" s="24">
        <f t="shared" si="2"/>
        <v>30502</v>
      </c>
      <c r="D88" s="22" t="str">
        <f>"newbie_name_"&amp;表6[[#This Row],[任务ID]]</f>
        <v>newbie_name_30501</v>
      </c>
      <c r="E88" s="3">
        <v>23</v>
      </c>
      <c r="F88" s="3">
        <v>0</v>
      </c>
      <c r="G88" s="23">
        <v>20</v>
      </c>
      <c r="H88" t="s">
        <v>343</v>
      </c>
      <c r="I88" s="3">
        <v>3</v>
      </c>
      <c r="J88" s="23" t="s">
        <v>174</v>
      </c>
    </row>
    <row r="89" spans="1:10" x14ac:dyDescent="0.15">
      <c r="A89" s="2">
        <f t="shared" si="3"/>
        <v>30502</v>
      </c>
      <c r="B89" s="23">
        <v>3</v>
      </c>
      <c r="C89" s="24">
        <f t="shared" si="2"/>
        <v>30503</v>
      </c>
      <c r="D89" s="22" t="str">
        <f>"newbie_name_"&amp;表6[[#This Row],[任务ID]]</f>
        <v>newbie_name_30502</v>
      </c>
      <c r="E89" s="3">
        <v>23</v>
      </c>
      <c r="F89" s="3">
        <v>0</v>
      </c>
      <c r="G89" s="23">
        <v>30</v>
      </c>
      <c r="H89" t="s">
        <v>343</v>
      </c>
      <c r="I89" s="3">
        <v>3</v>
      </c>
      <c r="J89" s="23" t="s">
        <v>175</v>
      </c>
    </row>
    <row r="90" spans="1:10" x14ac:dyDescent="0.15">
      <c r="A90" s="2">
        <f t="shared" si="3"/>
        <v>30503</v>
      </c>
      <c r="B90" s="23">
        <v>3</v>
      </c>
      <c r="C90" s="24">
        <f t="shared" si="2"/>
        <v>30504</v>
      </c>
      <c r="D90" s="22" t="str">
        <f>"newbie_name_"&amp;表6[[#This Row],[任务ID]]</f>
        <v>newbie_name_30503</v>
      </c>
      <c r="E90" s="3">
        <v>23</v>
      </c>
      <c r="F90" s="3">
        <v>0</v>
      </c>
      <c r="G90" s="23">
        <v>40</v>
      </c>
      <c r="H90" t="s">
        <v>343</v>
      </c>
      <c r="I90" s="3">
        <v>3</v>
      </c>
      <c r="J90" s="23" t="s">
        <v>176</v>
      </c>
    </row>
    <row r="91" spans="1:10" x14ac:dyDescent="0.15">
      <c r="A91" s="2">
        <f t="shared" si="3"/>
        <v>30504</v>
      </c>
      <c r="B91" s="23">
        <v>3</v>
      </c>
      <c r="C91" s="24">
        <f t="shared" si="2"/>
        <v>30505</v>
      </c>
      <c r="D91" s="22" t="str">
        <f>"newbie_name_"&amp;表6[[#This Row],[任务ID]]</f>
        <v>newbie_name_30504</v>
      </c>
      <c r="E91" s="3">
        <v>23</v>
      </c>
      <c r="F91" s="3">
        <v>0</v>
      </c>
      <c r="G91" s="23">
        <v>60</v>
      </c>
      <c r="H91" t="s">
        <v>344</v>
      </c>
      <c r="I91" s="3">
        <v>4</v>
      </c>
      <c r="J91" s="23" t="s">
        <v>177</v>
      </c>
    </row>
    <row r="92" spans="1:10" x14ac:dyDescent="0.15">
      <c r="A92" s="2">
        <f t="shared" si="3"/>
        <v>30505</v>
      </c>
      <c r="B92" s="23">
        <v>3</v>
      </c>
      <c r="C92" s="24">
        <f t="shared" si="2"/>
        <v>30506</v>
      </c>
      <c r="D92" s="22" t="str">
        <f>"newbie_name_"&amp;表6[[#This Row],[任务ID]]</f>
        <v>newbie_name_30505</v>
      </c>
      <c r="E92" s="3">
        <v>23</v>
      </c>
      <c r="F92" s="3">
        <v>0</v>
      </c>
      <c r="G92" s="23">
        <v>80</v>
      </c>
      <c r="H92" t="s">
        <v>344</v>
      </c>
      <c r="I92" s="3">
        <v>5</v>
      </c>
      <c r="J92" s="23" t="s">
        <v>178</v>
      </c>
    </row>
    <row r="93" spans="1:10" x14ac:dyDescent="0.15">
      <c r="A93" s="2">
        <f t="shared" si="3"/>
        <v>30506</v>
      </c>
      <c r="B93" s="23">
        <v>3</v>
      </c>
      <c r="C93" s="24">
        <f t="shared" si="2"/>
        <v>0</v>
      </c>
      <c r="D93" s="22" t="str">
        <f>"newbie_name_"&amp;表6[[#This Row],[任务ID]]</f>
        <v>newbie_name_30506</v>
      </c>
      <c r="E93" s="3">
        <v>23</v>
      </c>
      <c r="F93" s="3">
        <v>0</v>
      </c>
      <c r="G93" s="23">
        <v>100</v>
      </c>
      <c r="H93" t="s">
        <v>344</v>
      </c>
      <c r="I93" s="3">
        <v>6</v>
      </c>
      <c r="J93" s="23" t="s">
        <v>179</v>
      </c>
    </row>
    <row r="94" spans="1:10" x14ac:dyDescent="0.15">
      <c r="A94" s="2">
        <f t="shared" si="3"/>
        <v>30600</v>
      </c>
      <c r="B94" s="23">
        <v>3</v>
      </c>
      <c r="C94" s="24">
        <f t="shared" si="2"/>
        <v>30601</v>
      </c>
      <c r="D94" s="22" t="str">
        <f>"newbie_name_"&amp;表6[[#This Row],[任务ID]]</f>
        <v>newbie_name_30600</v>
      </c>
      <c r="E94" s="23">
        <v>2</v>
      </c>
      <c r="F94" s="23">
        <v>1</v>
      </c>
      <c r="G94" s="23">
        <v>10</v>
      </c>
      <c r="H94" t="s">
        <v>345</v>
      </c>
      <c r="I94" s="3">
        <v>3</v>
      </c>
      <c r="J94" s="23" t="s">
        <v>180</v>
      </c>
    </row>
    <row r="95" spans="1:10" x14ac:dyDescent="0.15">
      <c r="A95" s="2">
        <f t="shared" si="3"/>
        <v>30601</v>
      </c>
      <c r="B95" s="23">
        <v>3</v>
      </c>
      <c r="C95" s="24">
        <f t="shared" si="2"/>
        <v>30602</v>
      </c>
      <c r="D95" s="22" t="str">
        <f>"newbie_name_"&amp;表6[[#This Row],[任务ID]]</f>
        <v>newbie_name_30601</v>
      </c>
      <c r="E95" s="23">
        <v>2</v>
      </c>
      <c r="F95" s="23">
        <v>1</v>
      </c>
      <c r="G95" s="23">
        <v>20</v>
      </c>
      <c r="H95" t="s">
        <v>345</v>
      </c>
      <c r="I95" s="3">
        <v>3</v>
      </c>
      <c r="J95" s="23" t="s">
        <v>181</v>
      </c>
    </row>
    <row r="96" spans="1:10" x14ac:dyDescent="0.15">
      <c r="A96" s="2">
        <f t="shared" si="3"/>
        <v>30602</v>
      </c>
      <c r="B96" s="23">
        <v>3</v>
      </c>
      <c r="C96" s="24">
        <f t="shared" si="2"/>
        <v>30603</v>
      </c>
      <c r="D96" s="22" t="str">
        <f>"newbie_name_"&amp;表6[[#This Row],[任务ID]]</f>
        <v>newbie_name_30602</v>
      </c>
      <c r="E96" s="23">
        <v>2</v>
      </c>
      <c r="F96" s="23">
        <v>1</v>
      </c>
      <c r="G96" s="23">
        <v>30</v>
      </c>
      <c r="H96" t="s">
        <v>345</v>
      </c>
      <c r="I96" s="3">
        <v>3</v>
      </c>
      <c r="J96" s="23" t="s">
        <v>182</v>
      </c>
    </row>
    <row r="97" spans="1:10" x14ac:dyDescent="0.15">
      <c r="A97" s="2">
        <f t="shared" si="3"/>
        <v>30603</v>
      </c>
      <c r="B97" s="23">
        <v>3</v>
      </c>
      <c r="C97" s="24">
        <f t="shared" si="2"/>
        <v>30604</v>
      </c>
      <c r="D97" s="22" t="str">
        <f>"newbie_name_"&amp;表6[[#This Row],[任务ID]]</f>
        <v>newbie_name_30603</v>
      </c>
      <c r="E97" s="23">
        <v>2</v>
      </c>
      <c r="F97" s="23">
        <v>1</v>
      </c>
      <c r="G97" s="23">
        <v>40</v>
      </c>
      <c r="H97" t="s">
        <v>345</v>
      </c>
      <c r="I97" s="3">
        <v>3</v>
      </c>
      <c r="J97" s="23" t="s">
        <v>183</v>
      </c>
    </row>
    <row r="98" spans="1:10" x14ac:dyDescent="0.15">
      <c r="A98" s="2">
        <f t="shared" si="3"/>
        <v>30604</v>
      </c>
      <c r="B98" s="23">
        <v>3</v>
      </c>
      <c r="C98" s="24">
        <f t="shared" si="2"/>
        <v>30605</v>
      </c>
      <c r="D98" s="22" t="str">
        <f>"newbie_name_"&amp;表6[[#This Row],[任务ID]]</f>
        <v>newbie_name_30604</v>
      </c>
      <c r="E98" s="23">
        <v>2</v>
      </c>
      <c r="F98" s="23">
        <v>1</v>
      </c>
      <c r="G98" s="23">
        <v>60</v>
      </c>
      <c r="H98" t="s">
        <v>346</v>
      </c>
      <c r="I98" s="3">
        <v>3</v>
      </c>
      <c r="J98" s="23" t="s">
        <v>184</v>
      </c>
    </row>
    <row r="99" spans="1:10" x14ac:dyDescent="0.15">
      <c r="A99" s="2">
        <f t="shared" si="3"/>
        <v>30605</v>
      </c>
      <c r="B99" s="23">
        <v>3</v>
      </c>
      <c r="C99" s="24">
        <f t="shared" si="2"/>
        <v>30606</v>
      </c>
      <c r="D99" s="22" t="str">
        <f>"newbie_name_"&amp;表6[[#This Row],[任务ID]]</f>
        <v>newbie_name_30605</v>
      </c>
      <c r="E99" s="23">
        <v>2</v>
      </c>
      <c r="F99" s="23">
        <v>1</v>
      </c>
      <c r="G99" s="23">
        <v>80</v>
      </c>
      <c r="H99" t="s">
        <v>346</v>
      </c>
      <c r="I99" s="3">
        <v>3</v>
      </c>
      <c r="J99" s="23" t="s">
        <v>185</v>
      </c>
    </row>
    <row r="100" spans="1:10" x14ac:dyDescent="0.15">
      <c r="A100" s="2">
        <f t="shared" si="3"/>
        <v>30606</v>
      </c>
      <c r="B100" s="23">
        <v>3</v>
      </c>
      <c r="C100" s="24">
        <f t="shared" si="2"/>
        <v>30607</v>
      </c>
      <c r="D100" s="22" t="str">
        <f>"newbie_name_"&amp;表6[[#This Row],[任务ID]]</f>
        <v>newbie_name_30606</v>
      </c>
      <c r="E100" s="23">
        <v>2</v>
      </c>
      <c r="F100" s="23">
        <v>1</v>
      </c>
      <c r="G100" s="23">
        <v>100</v>
      </c>
      <c r="H100" t="s">
        <v>346</v>
      </c>
      <c r="I100" s="3">
        <v>4</v>
      </c>
      <c r="J100" s="23" t="s">
        <v>186</v>
      </c>
    </row>
    <row r="101" spans="1:10" x14ac:dyDescent="0.15">
      <c r="A101" s="2">
        <f t="shared" si="3"/>
        <v>30607</v>
      </c>
      <c r="B101" s="23">
        <v>3</v>
      </c>
      <c r="C101" s="24">
        <f t="shared" si="2"/>
        <v>30608</v>
      </c>
      <c r="D101" s="22" t="str">
        <f>"newbie_name_"&amp;表6[[#This Row],[任务ID]]</f>
        <v>newbie_name_30607</v>
      </c>
      <c r="E101" s="23">
        <v>2</v>
      </c>
      <c r="F101" s="23">
        <v>1</v>
      </c>
      <c r="G101" s="23">
        <v>120</v>
      </c>
      <c r="H101" t="s">
        <v>346</v>
      </c>
      <c r="I101" s="3">
        <v>5</v>
      </c>
      <c r="J101" s="23" t="s">
        <v>187</v>
      </c>
    </row>
    <row r="102" spans="1:10" x14ac:dyDescent="0.15">
      <c r="A102" s="2">
        <f t="shared" si="3"/>
        <v>30608</v>
      </c>
      <c r="B102" s="23">
        <v>3</v>
      </c>
      <c r="C102" s="24">
        <f t="shared" si="2"/>
        <v>30609</v>
      </c>
      <c r="D102" s="22" t="str">
        <f>"newbie_name_"&amp;表6[[#This Row],[任务ID]]</f>
        <v>newbie_name_30608</v>
      </c>
      <c r="E102" s="23">
        <v>2</v>
      </c>
      <c r="F102" s="23">
        <v>1</v>
      </c>
      <c r="G102" s="23">
        <v>140</v>
      </c>
      <c r="H102" t="s">
        <v>346</v>
      </c>
      <c r="I102" s="3">
        <v>6</v>
      </c>
      <c r="J102" s="23" t="s">
        <v>188</v>
      </c>
    </row>
    <row r="103" spans="1:10" x14ac:dyDescent="0.15">
      <c r="A103" s="2">
        <f t="shared" si="3"/>
        <v>30609</v>
      </c>
      <c r="B103" s="23">
        <v>3</v>
      </c>
      <c r="C103" s="24">
        <f t="shared" si="2"/>
        <v>30610</v>
      </c>
      <c r="D103" s="22" t="str">
        <f>"newbie_name_"&amp;表6[[#This Row],[任务ID]]</f>
        <v>newbie_name_30609</v>
      </c>
      <c r="E103" s="23">
        <v>2</v>
      </c>
      <c r="F103" s="23">
        <v>1</v>
      </c>
      <c r="G103" s="23">
        <v>160</v>
      </c>
      <c r="H103" t="s">
        <v>346</v>
      </c>
      <c r="I103" s="3">
        <v>7</v>
      </c>
      <c r="J103" s="23" t="s">
        <v>189</v>
      </c>
    </row>
    <row r="104" spans="1:10" x14ac:dyDescent="0.15">
      <c r="A104" s="2">
        <f t="shared" si="3"/>
        <v>30610</v>
      </c>
      <c r="B104" s="23">
        <v>3</v>
      </c>
      <c r="C104" s="24">
        <f t="shared" si="2"/>
        <v>0</v>
      </c>
      <c r="D104" s="22" t="str">
        <f>"newbie_name_"&amp;表6[[#This Row],[任务ID]]</f>
        <v>newbie_name_30610</v>
      </c>
      <c r="E104" s="23">
        <v>2</v>
      </c>
      <c r="F104" s="23">
        <v>1</v>
      </c>
      <c r="G104" s="23">
        <v>200</v>
      </c>
      <c r="H104" t="s">
        <v>347</v>
      </c>
      <c r="I104" s="3">
        <v>8</v>
      </c>
      <c r="J104" s="23" t="s">
        <v>190</v>
      </c>
    </row>
    <row r="105" spans="1:10" x14ac:dyDescent="0.15">
      <c r="A105" s="2">
        <f t="shared" si="3"/>
        <v>40000</v>
      </c>
      <c r="B105" s="3">
        <v>4</v>
      </c>
      <c r="C105" s="24">
        <f t="shared" si="2"/>
        <v>0</v>
      </c>
      <c r="D105" s="22" t="str">
        <f>"newbie_name_"&amp;表6[[#This Row],[任务ID]]</f>
        <v>newbie_name_40000</v>
      </c>
      <c r="E105" s="3">
        <v>13</v>
      </c>
      <c r="F105" s="3">
        <v>0</v>
      </c>
      <c r="G105" s="3">
        <v>4</v>
      </c>
      <c r="H105" t="s">
        <v>74</v>
      </c>
      <c r="I105" s="3">
        <v>4</v>
      </c>
      <c r="J105" s="3" t="s">
        <v>191</v>
      </c>
    </row>
    <row r="106" spans="1:10" x14ac:dyDescent="0.15">
      <c r="A106" s="2">
        <f t="shared" si="3"/>
        <v>40100</v>
      </c>
      <c r="B106" s="3">
        <v>4</v>
      </c>
      <c r="C106" s="24">
        <f t="shared" si="2"/>
        <v>0</v>
      </c>
      <c r="D106" s="22" t="str">
        <f>"newbie_name_"&amp;表6[[#This Row],[任务ID]]</f>
        <v>newbie_name_40100</v>
      </c>
      <c r="E106" s="3">
        <v>19</v>
      </c>
      <c r="F106" s="3">
        <v>1</v>
      </c>
      <c r="G106" s="3">
        <v>1</v>
      </c>
      <c r="H106" t="s">
        <v>348</v>
      </c>
      <c r="I106" s="3">
        <v>4</v>
      </c>
      <c r="J106" s="3" t="s">
        <v>93</v>
      </c>
    </row>
    <row r="107" spans="1:10" x14ac:dyDescent="0.15">
      <c r="A107" s="2">
        <f t="shared" si="3"/>
        <v>40200</v>
      </c>
      <c r="B107" s="3">
        <v>4</v>
      </c>
      <c r="C107" s="24">
        <f t="shared" si="2"/>
        <v>0</v>
      </c>
      <c r="D107" s="22" t="str">
        <f>"newbie_name_"&amp;表6[[#This Row],[任务ID]]</f>
        <v>newbie_name_40200</v>
      </c>
      <c r="E107" s="3">
        <v>0</v>
      </c>
      <c r="F107" s="3">
        <v>0</v>
      </c>
      <c r="G107" s="3">
        <v>350</v>
      </c>
      <c r="H107" t="s">
        <v>77</v>
      </c>
      <c r="I107" s="3">
        <v>4</v>
      </c>
      <c r="J107" s="3" t="s">
        <v>192</v>
      </c>
    </row>
    <row r="108" spans="1:10" x14ac:dyDescent="0.15">
      <c r="A108" s="2">
        <f t="shared" si="3"/>
        <v>40300</v>
      </c>
      <c r="B108" s="3">
        <v>4</v>
      </c>
      <c r="C108" s="24">
        <f t="shared" si="2"/>
        <v>0</v>
      </c>
      <c r="D108" s="22" t="str">
        <f>"newbie_name_"&amp;表6[[#This Row],[任务ID]]</f>
        <v>newbie_name_40300</v>
      </c>
      <c r="E108" s="3">
        <v>0</v>
      </c>
      <c r="F108" s="3">
        <v>0</v>
      </c>
      <c r="G108" s="3">
        <v>1100</v>
      </c>
      <c r="H108" t="s">
        <v>78</v>
      </c>
      <c r="I108" s="3">
        <v>4</v>
      </c>
      <c r="J108" s="3" t="s">
        <v>192</v>
      </c>
    </row>
    <row r="109" spans="1:10" x14ac:dyDescent="0.15">
      <c r="A109" s="2">
        <f t="shared" si="3"/>
        <v>40400</v>
      </c>
      <c r="B109" s="3">
        <v>4</v>
      </c>
      <c r="C109" s="24">
        <f t="shared" si="2"/>
        <v>40401</v>
      </c>
      <c r="D109" s="22" t="str">
        <f>"newbie_name_"&amp;表6[[#This Row],[任务ID]]</f>
        <v>newbie_name_40400</v>
      </c>
      <c r="E109" s="3">
        <v>28</v>
      </c>
      <c r="F109" s="3">
        <v>0</v>
      </c>
      <c r="G109" s="3">
        <v>3</v>
      </c>
      <c r="H109" t="s">
        <v>349</v>
      </c>
      <c r="I109" s="3">
        <v>4</v>
      </c>
      <c r="J109" s="3" t="s">
        <v>193</v>
      </c>
    </row>
    <row r="110" spans="1:10" x14ac:dyDescent="0.15">
      <c r="A110" s="2">
        <f t="shared" si="3"/>
        <v>40401</v>
      </c>
      <c r="B110" s="3">
        <v>4</v>
      </c>
      <c r="C110" s="24">
        <f t="shared" si="2"/>
        <v>40402</v>
      </c>
      <c r="D110" s="22" t="str">
        <f>"newbie_name_"&amp;表6[[#This Row],[任务ID]]</f>
        <v>newbie_name_40401</v>
      </c>
      <c r="E110" s="3">
        <v>28</v>
      </c>
      <c r="F110" s="3">
        <v>0</v>
      </c>
      <c r="G110" s="3">
        <v>6</v>
      </c>
      <c r="H110" t="s">
        <v>349</v>
      </c>
      <c r="I110" s="3">
        <v>4</v>
      </c>
      <c r="J110" s="3" t="s">
        <v>194</v>
      </c>
    </row>
    <row r="111" spans="1:10" x14ac:dyDescent="0.15">
      <c r="A111" s="2">
        <f t="shared" si="3"/>
        <v>40402</v>
      </c>
      <c r="B111" s="3">
        <v>4</v>
      </c>
      <c r="C111" s="24">
        <f t="shared" si="2"/>
        <v>40403</v>
      </c>
      <c r="D111" s="22" t="str">
        <f>"newbie_name_"&amp;表6[[#This Row],[任务ID]]</f>
        <v>newbie_name_40402</v>
      </c>
      <c r="E111" s="3">
        <v>28</v>
      </c>
      <c r="F111" s="3">
        <v>0</v>
      </c>
      <c r="G111" s="3">
        <v>10</v>
      </c>
      <c r="H111" t="s">
        <v>350</v>
      </c>
      <c r="I111" s="3">
        <v>4</v>
      </c>
      <c r="J111" s="3" t="s">
        <v>195</v>
      </c>
    </row>
    <row r="112" spans="1:10" x14ac:dyDescent="0.15">
      <c r="A112" s="2">
        <f t="shared" si="3"/>
        <v>40403</v>
      </c>
      <c r="B112" s="3">
        <v>4</v>
      </c>
      <c r="C112" s="24">
        <f t="shared" si="2"/>
        <v>40404</v>
      </c>
      <c r="D112" s="22" t="str">
        <f>"newbie_name_"&amp;表6[[#This Row],[任务ID]]</f>
        <v>newbie_name_40403</v>
      </c>
      <c r="E112" s="3">
        <v>28</v>
      </c>
      <c r="F112" s="3">
        <v>0</v>
      </c>
      <c r="G112" s="3">
        <v>20</v>
      </c>
      <c r="H112" t="s">
        <v>351</v>
      </c>
      <c r="I112" s="3">
        <v>4</v>
      </c>
      <c r="J112" s="3" t="s">
        <v>196</v>
      </c>
    </row>
    <row r="113" spans="1:10" x14ac:dyDescent="0.15">
      <c r="A113" s="2">
        <f t="shared" si="3"/>
        <v>40404</v>
      </c>
      <c r="B113" s="3">
        <v>4</v>
      </c>
      <c r="C113" s="24">
        <f t="shared" si="2"/>
        <v>40405</v>
      </c>
      <c r="D113" s="22" t="str">
        <f>"newbie_name_"&amp;表6[[#This Row],[任务ID]]</f>
        <v>newbie_name_40404</v>
      </c>
      <c r="E113" s="3">
        <v>28</v>
      </c>
      <c r="F113" s="3">
        <v>0</v>
      </c>
      <c r="G113" s="3">
        <v>30</v>
      </c>
      <c r="H113" t="s">
        <v>351</v>
      </c>
      <c r="I113" s="3">
        <v>4</v>
      </c>
      <c r="J113" s="3" t="s">
        <v>197</v>
      </c>
    </row>
    <row r="114" spans="1:10" x14ac:dyDescent="0.15">
      <c r="A114" s="2">
        <f t="shared" si="3"/>
        <v>40405</v>
      </c>
      <c r="B114" s="3">
        <v>4</v>
      </c>
      <c r="C114" s="24">
        <f t="shared" si="2"/>
        <v>40406</v>
      </c>
      <c r="D114" s="22" t="str">
        <f>"newbie_name_"&amp;表6[[#This Row],[任务ID]]</f>
        <v>newbie_name_40405</v>
      </c>
      <c r="E114" s="3">
        <v>28</v>
      </c>
      <c r="F114" s="3">
        <v>0</v>
      </c>
      <c r="G114" s="3">
        <v>40</v>
      </c>
      <c r="H114" t="s">
        <v>351</v>
      </c>
      <c r="I114" s="3">
        <v>5</v>
      </c>
      <c r="J114" s="3" t="s">
        <v>198</v>
      </c>
    </row>
    <row r="115" spans="1:10" x14ac:dyDescent="0.15">
      <c r="A115" s="2">
        <f t="shared" si="3"/>
        <v>40406</v>
      </c>
      <c r="B115" s="3">
        <v>4</v>
      </c>
      <c r="C115" s="24">
        <f t="shared" si="2"/>
        <v>40407</v>
      </c>
      <c r="D115" s="22" t="str">
        <f>"newbie_name_"&amp;表6[[#This Row],[任务ID]]</f>
        <v>newbie_name_40406</v>
      </c>
      <c r="E115" s="3">
        <v>28</v>
      </c>
      <c r="F115" s="3">
        <v>0</v>
      </c>
      <c r="G115" s="3">
        <v>50</v>
      </c>
      <c r="H115" t="s">
        <v>351</v>
      </c>
      <c r="I115" s="3">
        <v>6</v>
      </c>
      <c r="J115" s="3" t="s">
        <v>199</v>
      </c>
    </row>
    <row r="116" spans="1:10" x14ac:dyDescent="0.15">
      <c r="A116" s="2">
        <f t="shared" si="3"/>
        <v>40407</v>
      </c>
      <c r="B116" s="3">
        <v>4</v>
      </c>
      <c r="C116" s="24">
        <f t="shared" si="2"/>
        <v>40408</v>
      </c>
      <c r="D116" s="22" t="str">
        <f>"newbie_name_"&amp;表6[[#This Row],[任务ID]]</f>
        <v>newbie_name_40407</v>
      </c>
      <c r="E116" s="3">
        <v>28</v>
      </c>
      <c r="F116" s="3">
        <v>0</v>
      </c>
      <c r="G116" s="3">
        <v>60</v>
      </c>
      <c r="H116" t="s">
        <v>351</v>
      </c>
      <c r="I116" s="3">
        <v>7</v>
      </c>
      <c r="J116" s="3" t="s">
        <v>200</v>
      </c>
    </row>
    <row r="117" spans="1:10" x14ac:dyDescent="0.15">
      <c r="A117" s="2">
        <f t="shared" si="3"/>
        <v>40408</v>
      </c>
      <c r="B117" s="3">
        <v>4</v>
      </c>
      <c r="C117" s="24">
        <f t="shared" si="2"/>
        <v>0</v>
      </c>
      <c r="D117" s="22" t="str">
        <f>"newbie_name_"&amp;表6[[#This Row],[任务ID]]</f>
        <v>newbie_name_40408</v>
      </c>
      <c r="E117" s="3">
        <v>28</v>
      </c>
      <c r="F117" s="3">
        <v>0</v>
      </c>
      <c r="G117" s="3">
        <v>70</v>
      </c>
      <c r="H117" t="s">
        <v>351</v>
      </c>
      <c r="I117" s="3">
        <v>8</v>
      </c>
      <c r="J117" s="3" t="s">
        <v>201</v>
      </c>
    </row>
    <row r="118" spans="1:10" x14ac:dyDescent="0.15">
      <c r="A118" s="2">
        <f t="shared" si="3"/>
        <v>40500</v>
      </c>
      <c r="B118" s="3">
        <v>4</v>
      </c>
      <c r="C118" s="24">
        <f t="shared" si="2"/>
        <v>40501</v>
      </c>
      <c r="D118" s="22" t="str">
        <f>"newbie_name_"&amp;表6[[#This Row],[任务ID]]</f>
        <v>newbie_name_40500</v>
      </c>
      <c r="E118" s="3">
        <v>6</v>
      </c>
      <c r="F118" s="3">
        <v>0</v>
      </c>
      <c r="G118" s="3">
        <v>2</v>
      </c>
      <c r="H118" t="s">
        <v>352</v>
      </c>
      <c r="I118" s="3">
        <v>4</v>
      </c>
      <c r="J118" s="3" t="s">
        <v>202</v>
      </c>
    </row>
    <row r="119" spans="1:10" x14ac:dyDescent="0.15">
      <c r="A119" s="2">
        <f t="shared" si="3"/>
        <v>40501</v>
      </c>
      <c r="B119" s="3">
        <v>4</v>
      </c>
      <c r="C119" s="24">
        <f t="shared" si="2"/>
        <v>40502</v>
      </c>
      <c r="D119" s="22" t="str">
        <f>"newbie_name_"&amp;表6[[#This Row],[任务ID]]</f>
        <v>newbie_name_40501</v>
      </c>
      <c r="E119" s="3">
        <v>6</v>
      </c>
      <c r="F119" s="3">
        <v>0</v>
      </c>
      <c r="G119" s="3">
        <v>3</v>
      </c>
      <c r="H119" t="s">
        <v>353</v>
      </c>
      <c r="I119" s="3">
        <v>4</v>
      </c>
      <c r="J119" s="3" t="s">
        <v>203</v>
      </c>
    </row>
    <row r="120" spans="1:10" x14ac:dyDescent="0.15">
      <c r="A120" s="2">
        <f t="shared" si="3"/>
        <v>40502</v>
      </c>
      <c r="B120" s="3">
        <v>4</v>
      </c>
      <c r="C120" s="24">
        <f t="shared" si="2"/>
        <v>40503</v>
      </c>
      <c r="D120" s="22" t="str">
        <f>"newbie_name_"&amp;表6[[#This Row],[任务ID]]</f>
        <v>newbie_name_40502</v>
      </c>
      <c r="E120" s="3">
        <v>6</v>
      </c>
      <c r="F120" s="3">
        <v>0</v>
      </c>
      <c r="G120" s="3">
        <v>4</v>
      </c>
      <c r="H120" t="s">
        <v>354</v>
      </c>
      <c r="I120" s="3">
        <v>4</v>
      </c>
      <c r="J120" s="3" t="s">
        <v>204</v>
      </c>
    </row>
    <row r="121" spans="1:10" x14ac:dyDescent="0.15">
      <c r="A121" s="2">
        <f t="shared" si="3"/>
        <v>40503</v>
      </c>
      <c r="B121" s="3">
        <v>4</v>
      </c>
      <c r="C121" s="24">
        <f t="shared" si="2"/>
        <v>40504</v>
      </c>
      <c r="D121" s="22" t="str">
        <f>"newbie_name_"&amp;表6[[#This Row],[任务ID]]</f>
        <v>newbie_name_40503</v>
      </c>
      <c r="E121" s="3">
        <v>6</v>
      </c>
      <c r="F121" s="3">
        <v>0</v>
      </c>
      <c r="G121" s="3">
        <v>6</v>
      </c>
      <c r="H121" t="s">
        <v>355</v>
      </c>
      <c r="I121" s="3">
        <v>5</v>
      </c>
      <c r="J121" s="3" t="s">
        <v>205</v>
      </c>
    </row>
    <row r="122" spans="1:10" x14ac:dyDescent="0.15">
      <c r="A122" s="2">
        <f t="shared" si="3"/>
        <v>40504</v>
      </c>
      <c r="B122" s="3">
        <v>4</v>
      </c>
      <c r="C122" s="24">
        <f t="shared" si="2"/>
        <v>40505</v>
      </c>
      <c r="D122" s="22" t="str">
        <f>"newbie_name_"&amp;表6[[#This Row],[任务ID]]</f>
        <v>newbie_name_40504</v>
      </c>
      <c r="E122" s="3">
        <v>6</v>
      </c>
      <c r="F122" s="3">
        <v>0</v>
      </c>
      <c r="G122" s="3">
        <v>8</v>
      </c>
      <c r="H122" t="s">
        <v>356</v>
      </c>
      <c r="I122" s="3">
        <v>6</v>
      </c>
      <c r="J122" s="3" t="s">
        <v>206</v>
      </c>
    </row>
    <row r="123" spans="1:10" x14ac:dyDescent="0.15">
      <c r="A123" s="2">
        <f t="shared" si="3"/>
        <v>40505</v>
      </c>
      <c r="B123" s="3">
        <v>4</v>
      </c>
      <c r="C123" s="24">
        <f t="shared" si="2"/>
        <v>0</v>
      </c>
      <c r="D123" s="22" t="str">
        <f>"newbie_name_"&amp;表6[[#This Row],[任务ID]]</f>
        <v>newbie_name_40505</v>
      </c>
      <c r="E123" s="3">
        <v>6</v>
      </c>
      <c r="F123" s="3">
        <v>0</v>
      </c>
      <c r="G123" s="3">
        <v>10</v>
      </c>
      <c r="H123" t="s">
        <v>357</v>
      </c>
      <c r="I123" s="3">
        <v>7</v>
      </c>
      <c r="J123" s="3" t="s">
        <v>207</v>
      </c>
    </row>
    <row r="124" spans="1:10" x14ac:dyDescent="0.15">
      <c r="A124" s="2">
        <f t="shared" si="3"/>
        <v>40600</v>
      </c>
      <c r="B124" s="3">
        <v>4</v>
      </c>
      <c r="C124" s="24">
        <f t="shared" si="2"/>
        <v>40601</v>
      </c>
      <c r="D124" s="22" t="str">
        <f>"newbie_name_"&amp;表6[[#This Row],[任务ID]]</f>
        <v>newbie_name_40600</v>
      </c>
      <c r="E124" s="23">
        <v>2</v>
      </c>
      <c r="F124" s="23">
        <v>4</v>
      </c>
      <c r="G124" s="3">
        <v>10</v>
      </c>
      <c r="H124" t="s">
        <v>358</v>
      </c>
      <c r="I124" s="3">
        <v>4</v>
      </c>
      <c r="J124" s="22" t="s">
        <v>208</v>
      </c>
    </row>
    <row r="125" spans="1:10" x14ac:dyDescent="0.15">
      <c r="A125" s="2">
        <f t="shared" si="3"/>
        <v>40601</v>
      </c>
      <c r="B125" s="3">
        <v>4</v>
      </c>
      <c r="C125" s="24">
        <f t="shared" si="2"/>
        <v>40602</v>
      </c>
      <c r="D125" s="22" t="str">
        <f>"newbie_name_"&amp;表6[[#This Row],[任务ID]]</f>
        <v>newbie_name_40601</v>
      </c>
      <c r="E125" s="23">
        <v>2</v>
      </c>
      <c r="F125" s="23">
        <v>4</v>
      </c>
      <c r="G125" s="3">
        <v>20</v>
      </c>
      <c r="H125" t="s">
        <v>359</v>
      </c>
      <c r="I125" s="3">
        <v>4</v>
      </c>
      <c r="J125" s="22" t="s">
        <v>209</v>
      </c>
    </row>
    <row r="126" spans="1:10" x14ac:dyDescent="0.15">
      <c r="A126" s="2">
        <f t="shared" si="3"/>
        <v>40602</v>
      </c>
      <c r="B126" s="3">
        <v>4</v>
      </c>
      <c r="C126" s="24">
        <f t="shared" si="2"/>
        <v>40603</v>
      </c>
      <c r="D126" s="22" t="str">
        <f>"newbie_name_"&amp;表6[[#This Row],[任务ID]]</f>
        <v>newbie_name_40602</v>
      </c>
      <c r="E126" s="23">
        <v>2</v>
      </c>
      <c r="F126" s="23">
        <v>4</v>
      </c>
      <c r="G126" s="3">
        <v>30</v>
      </c>
      <c r="H126" t="s">
        <v>360</v>
      </c>
      <c r="I126" s="3">
        <v>4</v>
      </c>
      <c r="J126" s="22" t="s">
        <v>210</v>
      </c>
    </row>
    <row r="127" spans="1:10" x14ac:dyDescent="0.15">
      <c r="A127" s="2">
        <f t="shared" si="3"/>
        <v>40603</v>
      </c>
      <c r="B127" s="3">
        <v>4</v>
      </c>
      <c r="C127" s="24">
        <f t="shared" si="2"/>
        <v>40604</v>
      </c>
      <c r="D127" s="22" t="str">
        <f>"newbie_name_"&amp;表6[[#This Row],[任务ID]]</f>
        <v>newbie_name_40603</v>
      </c>
      <c r="E127" s="23">
        <v>2</v>
      </c>
      <c r="F127" s="23">
        <v>4</v>
      </c>
      <c r="G127" s="3">
        <v>40</v>
      </c>
      <c r="H127" t="s">
        <v>361</v>
      </c>
      <c r="I127" s="3">
        <v>5</v>
      </c>
      <c r="J127" s="22" t="s">
        <v>211</v>
      </c>
    </row>
    <row r="128" spans="1:10" x14ac:dyDescent="0.15">
      <c r="A128" s="2">
        <f t="shared" si="3"/>
        <v>40604</v>
      </c>
      <c r="B128" s="3">
        <v>4</v>
      </c>
      <c r="C128" s="24">
        <f t="shared" si="2"/>
        <v>40605</v>
      </c>
      <c r="D128" s="22" t="str">
        <f>"newbie_name_"&amp;表6[[#This Row],[任务ID]]</f>
        <v>newbie_name_40604</v>
      </c>
      <c r="E128" s="23">
        <v>2</v>
      </c>
      <c r="F128" s="23">
        <v>4</v>
      </c>
      <c r="G128" s="3">
        <v>60</v>
      </c>
      <c r="H128" t="s">
        <v>362</v>
      </c>
      <c r="I128" s="3">
        <v>6</v>
      </c>
      <c r="J128" s="22" t="s">
        <v>212</v>
      </c>
    </row>
    <row r="129" spans="1:10" x14ac:dyDescent="0.15">
      <c r="A129" s="2">
        <f t="shared" si="3"/>
        <v>40605</v>
      </c>
      <c r="B129" s="3">
        <v>4</v>
      </c>
      <c r="C129" s="24">
        <f t="shared" si="2"/>
        <v>40606</v>
      </c>
      <c r="D129" s="22" t="str">
        <f>"newbie_name_"&amp;表6[[#This Row],[任务ID]]</f>
        <v>newbie_name_40605</v>
      </c>
      <c r="E129" s="23">
        <v>2</v>
      </c>
      <c r="F129" s="23">
        <v>4</v>
      </c>
      <c r="G129" s="3">
        <v>80</v>
      </c>
      <c r="H129" t="s">
        <v>363</v>
      </c>
      <c r="I129" s="3">
        <v>7</v>
      </c>
      <c r="J129" s="22" t="s">
        <v>213</v>
      </c>
    </row>
    <row r="130" spans="1:10" x14ac:dyDescent="0.15">
      <c r="A130" s="2">
        <f t="shared" si="3"/>
        <v>40606</v>
      </c>
      <c r="B130" s="3">
        <v>4</v>
      </c>
      <c r="C130" s="24">
        <f t="shared" si="2"/>
        <v>0</v>
      </c>
      <c r="D130" s="22" t="str">
        <f>"newbie_name_"&amp;表6[[#This Row],[任务ID]]</f>
        <v>newbie_name_40606</v>
      </c>
      <c r="E130" s="23">
        <v>2</v>
      </c>
      <c r="F130" s="23">
        <v>4</v>
      </c>
      <c r="G130" s="3">
        <v>100</v>
      </c>
      <c r="H130" t="s">
        <v>364</v>
      </c>
      <c r="I130" s="3">
        <v>8</v>
      </c>
      <c r="J130" s="22" t="s">
        <v>214</v>
      </c>
    </row>
    <row r="131" spans="1:10" x14ac:dyDescent="0.15">
      <c r="A131" s="2">
        <f t="shared" si="3"/>
        <v>50000</v>
      </c>
      <c r="B131" s="3">
        <v>5</v>
      </c>
      <c r="C131" s="24">
        <f t="shared" si="2"/>
        <v>0</v>
      </c>
      <c r="D131" s="22" t="str">
        <f>"newbie_name_"&amp;表6[[#This Row],[任务ID]]</f>
        <v>newbie_name_50000</v>
      </c>
      <c r="E131" s="3">
        <v>13</v>
      </c>
      <c r="F131" s="3">
        <v>0</v>
      </c>
      <c r="G131" s="3">
        <v>5</v>
      </c>
      <c r="H131" t="s">
        <v>79</v>
      </c>
      <c r="I131" s="3">
        <v>5</v>
      </c>
      <c r="J131" s="3" t="s">
        <v>215</v>
      </c>
    </row>
    <row r="132" spans="1:10" x14ac:dyDescent="0.15">
      <c r="A132" s="2">
        <f t="shared" si="3"/>
        <v>50100</v>
      </c>
      <c r="B132" s="3">
        <v>5</v>
      </c>
      <c r="C132" s="24">
        <f t="shared" si="2"/>
        <v>0</v>
      </c>
      <c r="D132" s="22" t="str">
        <f>"newbie_name_"&amp;表6[[#This Row],[任务ID]]</f>
        <v>newbie_name_50100</v>
      </c>
      <c r="E132" s="3">
        <v>19</v>
      </c>
      <c r="F132" s="3">
        <v>1</v>
      </c>
      <c r="G132" s="3">
        <v>1</v>
      </c>
      <c r="H132" t="s">
        <v>365</v>
      </c>
      <c r="I132" s="3">
        <v>5</v>
      </c>
      <c r="J132" s="3" t="s">
        <v>93</v>
      </c>
    </row>
    <row r="133" spans="1:10" x14ac:dyDescent="0.15">
      <c r="A133" s="2">
        <f t="shared" si="3"/>
        <v>50200</v>
      </c>
      <c r="B133" s="3">
        <v>5</v>
      </c>
      <c r="C133" s="24">
        <f t="shared" ref="C133:C196" si="4">IF(OR(E133&lt;&gt;E134,E133=0),0,A134)</f>
        <v>0</v>
      </c>
      <c r="D133" s="22" t="str">
        <f>"newbie_name_"&amp;表6[[#This Row],[任务ID]]</f>
        <v>newbie_name_50200</v>
      </c>
      <c r="E133" s="3">
        <v>0</v>
      </c>
      <c r="F133" s="3">
        <v>0</v>
      </c>
      <c r="G133" s="3">
        <v>300</v>
      </c>
      <c r="H133" t="s">
        <v>80</v>
      </c>
      <c r="I133" s="3">
        <v>5</v>
      </c>
      <c r="J133" s="3" t="s">
        <v>94</v>
      </c>
    </row>
    <row r="134" spans="1:10" x14ac:dyDescent="0.15">
      <c r="A134" s="2">
        <f t="shared" ref="A134:A197" si="5">IF(B134&lt;&gt;B133,B134*10000,IF(OR(E134&lt;&gt;E133,E134=0),INT(A133/100)*100+100,A133+1))</f>
        <v>50300</v>
      </c>
      <c r="B134" s="3">
        <v>5</v>
      </c>
      <c r="C134" s="24">
        <f t="shared" si="4"/>
        <v>0</v>
      </c>
      <c r="D134" s="22" t="str">
        <f>"newbie_name_"&amp;表6[[#This Row],[任务ID]]</f>
        <v>newbie_name_50300</v>
      </c>
      <c r="E134" s="3">
        <v>0</v>
      </c>
      <c r="F134" s="3">
        <v>0</v>
      </c>
      <c r="G134" s="3">
        <v>500</v>
      </c>
      <c r="H134" t="s">
        <v>81</v>
      </c>
      <c r="I134" s="3">
        <v>5</v>
      </c>
      <c r="J134" s="3" t="s">
        <v>216</v>
      </c>
    </row>
    <row r="135" spans="1:10" x14ac:dyDescent="0.15">
      <c r="A135" s="2">
        <f t="shared" si="5"/>
        <v>50400</v>
      </c>
      <c r="B135" s="3">
        <v>5</v>
      </c>
      <c r="C135" s="24">
        <f t="shared" si="4"/>
        <v>50401</v>
      </c>
      <c r="D135" s="22" t="str">
        <f>"newbie_name_"&amp;表6[[#This Row],[任务ID]]</f>
        <v>newbie_name_50400</v>
      </c>
      <c r="E135" s="3">
        <v>26</v>
      </c>
      <c r="F135" s="3">
        <v>200000</v>
      </c>
      <c r="G135" s="3">
        <v>0</v>
      </c>
      <c r="H135" t="s">
        <v>366</v>
      </c>
      <c r="I135" s="3">
        <v>5</v>
      </c>
      <c r="J135" s="3" t="s">
        <v>217</v>
      </c>
    </row>
    <row r="136" spans="1:10" x14ac:dyDescent="0.15">
      <c r="A136" s="2">
        <f t="shared" si="5"/>
        <v>50401</v>
      </c>
      <c r="B136" s="3">
        <v>5</v>
      </c>
      <c r="C136" s="24">
        <f t="shared" si="4"/>
        <v>50402</v>
      </c>
      <c r="D136" s="22" t="str">
        <f>"newbie_name_"&amp;表6[[#This Row],[任务ID]]</f>
        <v>newbie_name_50401</v>
      </c>
      <c r="E136" s="3">
        <v>26</v>
      </c>
      <c r="F136" s="3">
        <v>500000</v>
      </c>
      <c r="G136" s="3">
        <v>0</v>
      </c>
      <c r="H136" t="s">
        <v>367</v>
      </c>
      <c r="I136" s="3">
        <v>5</v>
      </c>
      <c r="J136" s="3" t="s">
        <v>218</v>
      </c>
    </row>
    <row r="137" spans="1:10" x14ac:dyDescent="0.15">
      <c r="A137" s="2">
        <f t="shared" si="5"/>
        <v>50402</v>
      </c>
      <c r="B137" s="3">
        <v>5</v>
      </c>
      <c r="C137" s="24">
        <f t="shared" si="4"/>
        <v>50403</v>
      </c>
      <c r="D137" s="22" t="str">
        <f>"newbie_name_"&amp;表6[[#This Row],[任务ID]]</f>
        <v>newbie_name_50402</v>
      </c>
      <c r="E137" s="3">
        <v>26</v>
      </c>
      <c r="F137" s="3">
        <v>1000000</v>
      </c>
      <c r="G137" s="3">
        <v>0</v>
      </c>
      <c r="H137" t="s">
        <v>368</v>
      </c>
      <c r="I137" s="3">
        <v>5</v>
      </c>
      <c r="J137" s="3" t="s">
        <v>219</v>
      </c>
    </row>
    <row r="138" spans="1:10" x14ac:dyDescent="0.15">
      <c r="A138" s="2">
        <f t="shared" si="5"/>
        <v>50403</v>
      </c>
      <c r="B138" s="3">
        <v>5</v>
      </c>
      <c r="C138" s="24">
        <f t="shared" si="4"/>
        <v>50404</v>
      </c>
      <c r="D138" s="22" t="str">
        <f>"newbie_name_"&amp;表6[[#This Row],[任务ID]]</f>
        <v>newbie_name_50403</v>
      </c>
      <c r="E138" s="3">
        <v>26</v>
      </c>
      <c r="F138" s="3">
        <v>2000000</v>
      </c>
      <c r="G138" s="3">
        <v>0</v>
      </c>
      <c r="H138" t="s">
        <v>369</v>
      </c>
      <c r="I138" s="3">
        <v>5</v>
      </c>
      <c r="J138" s="3" t="s">
        <v>220</v>
      </c>
    </row>
    <row r="139" spans="1:10" x14ac:dyDescent="0.15">
      <c r="A139" s="2">
        <f t="shared" si="5"/>
        <v>50404</v>
      </c>
      <c r="B139" s="3">
        <v>5</v>
      </c>
      <c r="C139" s="24">
        <f t="shared" si="4"/>
        <v>50405</v>
      </c>
      <c r="D139" s="22" t="str">
        <f>"newbie_name_"&amp;表6[[#This Row],[任务ID]]</f>
        <v>newbie_name_50404</v>
      </c>
      <c r="E139" s="3">
        <v>26</v>
      </c>
      <c r="F139" s="3">
        <v>3000000</v>
      </c>
      <c r="G139" s="3">
        <v>0</v>
      </c>
      <c r="H139" t="s">
        <v>370</v>
      </c>
      <c r="I139" s="3">
        <v>5</v>
      </c>
      <c r="J139" s="3" t="s">
        <v>221</v>
      </c>
    </row>
    <row r="140" spans="1:10" x14ac:dyDescent="0.15">
      <c r="A140" s="2">
        <f t="shared" si="5"/>
        <v>50405</v>
      </c>
      <c r="B140" s="3">
        <v>5</v>
      </c>
      <c r="C140" s="24">
        <f t="shared" si="4"/>
        <v>50406</v>
      </c>
      <c r="D140" s="22" t="str">
        <f>"newbie_name_"&amp;表6[[#This Row],[任务ID]]</f>
        <v>newbie_name_50405</v>
      </c>
      <c r="E140" s="3">
        <v>26</v>
      </c>
      <c r="F140" s="3">
        <v>4000000</v>
      </c>
      <c r="G140" s="3">
        <v>0</v>
      </c>
      <c r="H140" t="s">
        <v>371</v>
      </c>
      <c r="I140" s="3">
        <v>5</v>
      </c>
      <c r="J140" s="3" t="s">
        <v>222</v>
      </c>
    </row>
    <row r="141" spans="1:10" x14ac:dyDescent="0.15">
      <c r="A141" s="2">
        <f t="shared" si="5"/>
        <v>50406</v>
      </c>
      <c r="B141" s="3">
        <v>5</v>
      </c>
      <c r="C141" s="24">
        <f t="shared" si="4"/>
        <v>50407</v>
      </c>
      <c r="D141" s="22" t="str">
        <f>"newbie_name_"&amp;表6[[#This Row],[任务ID]]</f>
        <v>newbie_name_50406</v>
      </c>
      <c r="E141" s="3">
        <v>26</v>
      </c>
      <c r="F141" s="3">
        <v>5000000</v>
      </c>
      <c r="G141" s="3">
        <v>0</v>
      </c>
      <c r="H141" t="s">
        <v>372</v>
      </c>
      <c r="I141" s="3">
        <v>6</v>
      </c>
      <c r="J141" s="3" t="s">
        <v>223</v>
      </c>
    </row>
    <row r="142" spans="1:10" x14ac:dyDescent="0.15">
      <c r="A142" s="2">
        <f t="shared" si="5"/>
        <v>50407</v>
      </c>
      <c r="B142" s="3">
        <v>5</v>
      </c>
      <c r="C142" s="24">
        <f t="shared" si="4"/>
        <v>50408</v>
      </c>
      <c r="D142" s="22" t="str">
        <f>"newbie_name_"&amp;表6[[#This Row],[任务ID]]</f>
        <v>newbie_name_50407</v>
      </c>
      <c r="E142" s="3">
        <v>26</v>
      </c>
      <c r="F142" s="3">
        <v>6000000</v>
      </c>
      <c r="G142" s="3">
        <v>0</v>
      </c>
      <c r="H142" t="s">
        <v>373</v>
      </c>
      <c r="I142" s="3">
        <v>7</v>
      </c>
      <c r="J142" s="3" t="s">
        <v>224</v>
      </c>
    </row>
    <row r="143" spans="1:10" x14ac:dyDescent="0.15">
      <c r="A143" s="2">
        <f t="shared" si="5"/>
        <v>50408</v>
      </c>
      <c r="B143" s="3">
        <v>5</v>
      </c>
      <c r="C143" s="24">
        <f t="shared" si="4"/>
        <v>0</v>
      </c>
      <c r="D143" s="22" t="str">
        <f>"newbie_name_"&amp;表6[[#This Row],[任务ID]]</f>
        <v>newbie_name_50408</v>
      </c>
      <c r="E143" s="3">
        <v>26</v>
      </c>
      <c r="F143" s="3">
        <v>8000000</v>
      </c>
      <c r="G143" s="3">
        <v>0</v>
      </c>
      <c r="H143" t="s">
        <v>374</v>
      </c>
      <c r="I143" s="3">
        <v>8</v>
      </c>
      <c r="J143" s="3" t="s">
        <v>225</v>
      </c>
    </row>
    <row r="144" spans="1:10" x14ac:dyDescent="0.15">
      <c r="A144" s="2">
        <f t="shared" si="5"/>
        <v>50500</v>
      </c>
      <c r="B144" s="3">
        <v>5</v>
      </c>
      <c r="C144" s="24">
        <f t="shared" si="4"/>
        <v>50501</v>
      </c>
      <c r="D144" s="22" t="str">
        <f>"newbie_name_"&amp;表6[[#This Row],[任务ID]]</f>
        <v>newbie_name_50500</v>
      </c>
      <c r="E144" s="3">
        <v>29</v>
      </c>
      <c r="F144" s="3">
        <v>0</v>
      </c>
      <c r="G144" s="3">
        <v>6</v>
      </c>
      <c r="H144" t="s">
        <v>375</v>
      </c>
      <c r="I144" s="3">
        <v>5</v>
      </c>
      <c r="J144" s="3" t="s">
        <v>226</v>
      </c>
    </row>
    <row r="145" spans="1:10" x14ac:dyDescent="0.15">
      <c r="A145" s="2">
        <f t="shared" si="5"/>
        <v>50501</v>
      </c>
      <c r="B145" s="3">
        <v>5</v>
      </c>
      <c r="C145" s="24">
        <f t="shared" si="4"/>
        <v>50502</v>
      </c>
      <c r="D145" s="22" t="str">
        <f>"newbie_name_"&amp;表6[[#This Row],[任务ID]]</f>
        <v>newbie_name_50501</v>
      </c>
      <c r="E145" s="3">
        <v>29</v>
      </c>
      <c r="F145" s="3">
        <v>0</v>
      </c>
      <c r="G145" s="3">
        <v>10</v>
      </c>
      <c r="H145" t="s">
        <v>375</v>
      </c>
      <c r="I145" s="3">
        <v>5</v>
      </c>
      <c r="J145" s="3" t="s">
        <v>227</v>
      </c>
    </row>
    <row r="146" spans="1:10" x14ac:dyDescent="0.15">
      <c r="A146" s="2">
        <f t="shared" si="5"/>
        <v>50502</v>
      </c>
      <c r="B146" s="3">
        <v>5</v>
      </c>
      <c r="C146" s="24">
        <f t="shared" si="4"/>
        <v>50503</v>
      </c>
      <c r="D146" s="22" t="str">
        <f>"newbie_name_"&amp;表6[[#This Row],[任务ID]]</f>
        <v>newbie_name_50502</v>
      </c>
      <c r="E146" s="3">
        <v>29</v>
      </c>
      <c r="F146" s="3">
        <v>0</v>
      </c>
      <c r="G146" s="3">
        <v>11</v>
      </c>
      <c r="H146" t="s">
        <v>376</v>
      </c>
      <c r="I146" s="3">
        <v>5</v>
      </c>
      <c r="J146" s="3" t="s">
        <v>228</v>
      </c>
    </row>
    <row r="147" spans="1:10" x14ac:dyDescent="0.15">
      <c r="A147" s="2">
        <f t="shared" si="5"/>
        <v>50503</v>
      </c>
      <c r="B147" s="3">
        <v>5</v>
      </c>
      <c r="C147" s="24">
        <f t="shared" si="4"/>
        <v>50504</v>
      </c>
      <c r="D147" s="22" t="str">
        <f>"newbie_name_"&amp;表6[[#This Row],[任务ID]]</f>
        <v>newbie_name_50503</v>
      </c>
      <c r="E147" s="3">
        <v>29</v>
      </c>
      <c r="F147" s="3">
        <v>0</v>
      </c>
      <c r="G147" s="3">
        <v>15</v>
      </c>
      <c r="H147" t="s">
        <v>376</v>
      </c>
      <c r="I147" s="3">
        <v>5</v>
      </c>
      <c r="J147" s="3" t="s">
        <v>229</v>
      </c>
    </row>
    <row r="148" spans="1:10" x14ac:dyDescent="0.15">
      <c r="A148" s="2">
        <f t="shared" si="5"/>
        <v>50504</v>
      </c>
      <c r="B148" s="3">
        <v>5</v>
      </c>
      <c r="C148" s="24">
        <f t="shared" si="4"/>
        <v>50505</v>
      </c>
      <c r="D148" s="22" t="str">
        <f>"newbie_name_"&amp;表6[[#This Row],[任务ID]]</f>
        <v>newbie_name_50504</v>
      </c>
      <c r="E148" s="3">
        <v>29</v>
      </c>
      <c r="F148" s="3">
        <v>0</v>
      </c>
      <c r="G148" s="3">
        <v>16</v>
      </c>
      <c r="H148" t="s">
        <v>377</v>
      </c>
      <c r="I148" s="3">
        <v>5</v>
      </c>
      <c r="J148" s="3" t="s">
        <v>230</v>
      </c>
    </row>
    <row r="149" spans="1:10" x14ac:dyDescent="0.15">
      <c r="A149" s="2">
        <f t="shared" si="5"/>
        <v>50505</v>
      </c>
      <c r="B149" s="3">
        <v>5</v>
      </c>
      <c r="C149" s="24">
        <f t="shared" si="4"/>
        <v>50506</v>
      </c>
      <c r="D149" s="22" t="str">
        <f>"newbie_name_"&amp;表6[[#This Row],[任务ID]]</f>
        <v>newbie_name_50505</v>
      </c>
      <c r="E149" s="3">
        <v>29</v>
      </c>
      <c r="F149" s="3">
        <v>0</v>
      </c>
      <c r="G149" s="3">
        <v>18</v>
      </c>
      <c r="H149" t="s">
        <v>377</v>
      </c>
      <c r="I149" s="3">
        <v>5</v>
      </c>
      <c r="J149" s="3" t="s">
        <v>231</v>
      </c>
    </row>
    <row r="150" spans="1:10" x14ac:dyDescent="0.15">
      <c r="A150" s="2">
        <f t="shared" si="5"/>
        <v>50506</v>
      </c>
      <c r="B150" s="3">
        <v>5</v>
      </c>
      <c r="C150" s="24">
        <f t="shared" si="4"/>
        <v>50507</v>
      </c>
      <c r="D150" s="22" t="str">
        <f>"newbie_name_"&amp;表6[[#This Row],[任务ID]]</f>
        <v>newbie_name_50506</v>
      </c>
      <c r="E150" s="3">
        <v>29</v>
      </c>
      <c r="F150" s="3">
        <v>0</v>
      </c>
      <c r="G150" s="3">
        <v>20</v>
      </c>
      <c r="H150" t="s">
        <v>377</v>
      </c>
      <c r="I150" s="3">
        <v>5</v>
      </c>
      <c r="J150" s="3" t="s">
        <v>232</v>
      </c>
    </row>
    <row r="151" spans="1:10" x14ac:dyDescent="0.15">
      <c r="A151" s="2">
        <f t="shared" si="5"/>
        <v>50507</v>
      </c>
      <c r="B151" s="3">
        <v>5</v>
      </c>
      <c r="C151" s="24">
        <f t="shared" si="4"/>
        <v>50508</v>
      </c>
      <c r="D151" s="22" t="str">
        <f>"newbie_name_"&amp;表6[[#This Row],[任务ID]]</f>
        <v>newbie_name_50507</v>
      </c>
      <c r="E151" s="3">
        <v>29</v>
      </c>
      <c r="F151" s="3">
        <v>0</v>
      </c>
      <c r="G151" s="3">
        <v>21</v>
      </c>
      <c r="H151" t="s">
        <v>378</v>
      </c>
      <c r="I151" s="3">
        <v>6</v>
      </c>
      <c r="J151" s="3" t="s">
        <v>233</v>
      </c>
    </row>
    <row r="152" spans="1:10" x14ac:dyDescent="0.15">
      <c r="A152" s="2">
        <f t="shared" si="5"/>
        <v>50508</v>
      </c>
      <c r="B152" s="3">
        <v>5</v>
      </c>
      <c r="C152" s="24">
        <f t="shared" si="4"/>
        <v>50509</v>
      </c>
      <c r="D152" s="22" t="str">
        <f>"newbie_name_"&amp;表6[[#This Row],[任务ID]]</f>
        <v>newbie_name_50508</v>
      </c>
      <c r="E152" s="3">
        <v>29</v>
      </c>
      <c r="F152" s="3">
        <v>0</v>
      </c>
      <c r="G152" s="3">
        <v>22</v>
      </c>
      <c r="H152" t="s">
        <v>378</v>
      </c>
      <c r="I152" s="3">
        <v>6</v>
      </c>
      <c r="J152" s="3" t="s">
        <v>234</v>
      </c>
    </row>
    <row r="153" spans="1:10" x14ac:dyDescent="0.15">
      <c r="A153" s="2">
        <f t="shared" si="5"/>
        <v>50509</v>
      </c>
      <c r="B153" s="3">
        <v>5</v>
      </c>
      <c r="C153" s="24">
        <f t="shared" si="4"/>
        <v>50510</v>
      </c>
      <c r="D153" s="22" t="str">
        <f>"newbie_name_"&amp;表6[[#This Row],[任务ID]]</f>
        <v>newbie_name_50509</v>
      </c>
      <c r="E153" s="3">
        <v>29</v>
      </c>
      <c r="F153" s="3">
        <v>0</v>
      </c>
      <c r="G153" s="3">
        <v>23</v>
      </c>
      <c r="H153" t="s">
        <v>378</v>
      </c>
      <c r="I153" s="3">
        <v>7</v>
      </c>
      <c r="J153" s="3" t="s">
        <v>235</v>
      </c>
    </row>
    <row r="154" spans="1:10" x14ac:dyDescent="0.15">
      <c r="A154" s="2">
        <f t="shared" si="5"/>
        <v>50510</v>
      </c>
      <c r="B154" s="3">
        <v>5</v>
      </c>
      <c r="C154" s="24">
        <f t="shared" si="4"/>
        <v>50511</v>
      </c>
      <c r="D154" s="22" t="str">
        <f>"newbie_name_"&amp;表6[[#This Row],[任务ID]]</f>
        <v>newbie_name_50510</v>
      </c>
      <c r="E154" s="3">
        <v>29</v>
      </c>
      <c r="F154" s="3">
        <v>0</v>
      </c>
      <c r="G154" s="3">
        <v>24</v>
      </c>
      <c r="H154" t="s">
        <v>378</v>
      </c>
      <c r="I154" s="3">
        <v>7</v>
      </c>
      <c r="J154" s="3" t="s">
        <v>236</v>
      </c>
    </row>
    <row r="155" spans="1:10" x14ac:dyDescent="0.15">
      <c r="A155" s="2">
        <f t="shared" si="5"/>
        <v>50511</v>
      </c>
      <c r="B155" s="3">
        <v>5</v>
      </c>
      <c r="C155" s="24">
        <f t="shared" si="4"/>
        <v>0</v>
      </c>
      <c r="D155" s="22" t="str">
        <f>"newbie_name_"&amp;表6[[#This Row],[任务ID]]</f>
        <v>newbie_name_50511</v>
      </c>
      <c r="E155" s="3">
        <v>29</v>
      </c>
      <c r="F155" s="3">
        <v>0</v>
      </c>
      <c r="G155" s="3">
        <v>25</v>
      </c>
      <c r="H155" t="s">
        <v>378</v>
      </c>
      <c r="I155" s="3">
        <v>8</v>
      </c>
      <c r="J155" s="3" t="s">
        <v>237</v>
      </c>
    </row>
    <row r="156" spans="1:10" x14ac:dyDescent="0.15">
      <c r="A156" s="2">
        <f t="shared" si="5"/>
        <v>50600</v>
      </c>
      <c r="B156" s="3">
        <v>5</v>
      </c>
      <c r="C156" s="24">
        <f t="shared" si="4"/>
        <v>50601</v>
      </c>
      <c r="D156" s="22" t="str">
        <f>"newbie_name_"&amp;表6[[#This Row],[任务ID]]</f>
        <v>newbie_name_50600</v>
      </c>
      <c r="E156" s="23">
        <v>2</v>
      </c>
      <c r="F156" s="23">
        <v>8</v>
      </c>
      <c r="G156" s="3">
        <v>5</v>
      </c>
      <c r="H156" t="s">
        <v>366</v>
      </c>
      <c r="I156" s="3">
        <v>5</v>
      </c>
      <c r="J156" s="22" t="s">
        <v>238</v>
      </c>
    </row>
    <row r="157" spans="1:10" x14ac:dyDescent="0.15">
      <c r="A157" s="2">
        <f t="shared" si="5"/>
        <v>50601</v>
      </c>
      <c r="B157" s="3">
        <v>5</v>
      </c>
      <c r="C157" s="24">
        <f t="shared" si="4"/>
        <v>50602</v>
      </c>
      <c r="D157" s="22" t="str">
        <f>"newbie_name_"&amp;表6[[#This Row],[任务ID]]</f>
        <v>newbie_name_50601</v>
      </c>
      <c r="E157" s="23">
        <v>2</v>
      </c>
      <c r="F157" s="23">
        <v>8</v>
      </c>
      <c r="G157" s="3">
        <v>10</v>
      </c>
      <c r="H157" t="s">
        <v>366</v>
      </c>
      <c r="I157" s="3">
        <v>5</v>
      </c>
      <c r="J157" s="22" t="s">
        <v>239</v>
      </c>
    </row>
    <row r="158" spans="1:10" x14ac:dyDescent="0.15">
      <c r="A158" s="2">
        <f t="shared" si="5"/>
        <v>50602</v>
      </c>
      <c r="B158" s="3">
        <v>5</v>
      </c>
      <c r="C158" s="24">
        <f t="shared" si="4"/>
        <v>50603</v>
      </c>
      <c r="D158" s="22" t="str">
        <f>"newbie_name_"&amp;表6[[#This Row],[任务ID]]</f>
        <v>newbie_name_50602</v>
      </c>
      <c r="E158" s="23">
        <v>2</v>
      </c>
      <c r="F158" s="23">
        <v>8</v>
      </c>
      <c r="G158" s="3">
        <v>20</v>
      </c>
      <c r="H158" t="s">
        <v>379</v>
      </c>
      <c r="I158" s="3">
        <v>5</v>
      </c>
      <c r="J158" s="22" t="s">
        <v>240</v>
      </c>
    </row>
    <row r="159" spans="1:10" x14ac:dyDescent="0.15">
      <c r="A159" s="2">
        <f t="shared" si="5"/>
        <v>50603</v>
      </c>
      <c r="B159" s="3">
        <v>5</v>
      </c>
      <c r="C159" s="24">
        <f t="shared" si="4"/>
        <v>50604</v>
      </c>
      <c r="D159" s="22" t="str">
        <f>"newbie_name_"&amp;表6[[#This Row],[任务ID]]</f>
        <v>newbie_name_50603</v>
      </c>
      <c r="E159" s="23">
        <v>2</v>
      </c>
      <c r="F159" s="23">
        <v>8</v>
      </c>
      <c r="G159" s="3">
        <v>30</v>
      </c>
      <c r="H159" t="s">
        <v>379</v>
      </c>
      <c r="I159" s="3">
        <v>5</v>
      </c>
      <c r="J159" s="22" t="s">
        <v>241</v>
      </c>
    </row>
    <row r="160" spans="1:10" x14ac:dyDescent="0.15">
      <c r="A160" s="2">
        <f t="shared" si="5"/>
        <v>50604</v>
      </c>
      <c r="B160" s="3">
        <v>5</v>
      </c>
      <c r="C160" s="24">
        <f t="shared" si="4"/>
        <v>50605</v>
      </c>
      <c r="D160" s="22" t="str">
        <f>"newbie_name_"&amp;表6[[#This Row],[任务ID]]</f>
        <v>newbie_name_50604</v>
      </c>
      <c r="E160" s="23">
        <v>2</v>
      </c>
      <c r="F160" s="23">
        <v>8</v>
      </c>
      <c r="G160" s="3">
        <v>40</v>
      </c>
      <c r="H160" t="s">
        <v>379</v>
      </c>
      <c r="I160" s="3">
        <v>5</v>
      </c>
      <c r="J160" s="22" t="s">
        <v>242</v>
      </c>
    </row>
    <row r="161" spans="1:10" x14ac:dyDescent="0.15">
      <c r="A161" s="2">
        <f t="shared" si="5"/>
        <v>50605</v>
      </c>
      <c r="B161" s="3">
        <v>5</v>
      </c>
      <c r="C161" s="24">
        <f t="shared" si="4"/>
        <v>50606</v>
      </c>
      <c r="D161" s="22" t="str">
        <f>"newbie_name_"&amp;表6[[#This Row],[任务ID]]</f>
        <v>newbie_name_50605</v>
      </c>
      <c r="E161" s="23">
        <v>2</v>
      </c>
      <c r="F161" s="23">
        <v>8</v>
      </c>
      <c r="G161" s="3">
        <v>60</v>
      </c>
      <c r="H161" t="s">
        <v>380</v>
      </c>
      <c r="I161" s="3">
        <v>5</v>
      </c>
      <c r="J161" s="22" t="s">
        <v>243</v>
      </c>
    </row>
    <row r="162" spans="1:10" x14ac:dyDescent="0.15">
      <c r="A162" s="2">
        <f t="shared" si="5"/>
        <v>50606</v>
      </c>
      <c r="B162" s="3">
        <v>5</v>
      </c>
      <c r="C162" s="24">
        <f t="shared" si="4"/>
        <v>50607</v>
      </c>
      <c r="D162" s="22" t="str">
        <f>"newbie_name_"&amp;表6[[#This Row],[任务ID]]</f>
        <v>newbie_name_50606</v>
      </c>
      <c r="E162" s="23">
        <v>2</v>
      </c>
      <c r="F162" s="23">
        <v>8</v>
      </c>
      <c r="G162" s="3">
        <v>80</v>
      </c>
      <c r="H162" t="s">
        <v>380</v>
      </c>
      <c r="I162" s="3">
        <v>6</v>
      </c>
      <c r="J162" s="22" t="s">
        <v>244</v>
      </c>
    </row>
    <row r="163" spans="1:10" x14ac:dyDescent="0.15">
      <c r="A163" s="2">
        <f t="shared" si="5"/>
        <v>50607</v>
      </c>
      <c r="B163" s="3">
        <v>5</v>
      </c>
      <c r="C163" s="24">
        <f t="shared" si="4"/>
        <v>50608</v>
      </c>
      <c r="D163" s="22" t="str">
        <f>"newbie_name_"&amp;表6[[#This Row],[任务ID]]</f>
        <v>newbie_name_50607</v>
      </c>
      <c r="E163" s="23">
        <v>2</v>
      </c>
      <c r="F163" s="23">
        <v>8</v>
      </c>
      <c r="G163" s="3">
        <v>100</v>
      </c>
      <c r="H163" t="s">
        <v>380</v>
      </c>
      <c r="I163" s="3">
        <v>6</v>
      </c>
      <c r="J163" s="22" t="s">
        <v>245</v>
      </c>
    </row>
    <row r="164" spans="1:10" x14ac:dyDescent="0.15">
      <c r="A164" s="2">
        <f t="shared" si="5"/>
        <v>50608</v>
      </c>
      <c r="B164" s="3">
        <v>5</v>
      </c>
      <c r="C164" s="24">
        <f t="shared" si="4"/>
        <v>50609</v>
      </c>
      <c r="D164" s="22" t="str">
        <f>"newbie_name_"&amp;表6[[#This Row],[任务ID]]</f>
        <v>newbie_name_50608</v>
      </c>
      <c r="E164" s="23">
        <v>2</v>
      </c>
      <c r="F164" s="23">
        <v>8</v>
      </c>
      <c r="G164" s="3">
        <v>120</v>
      </c>
      <c r="H164" t="s">
        <v>380</v>
      </c>
      <c r="I164" s="3">
        <v>7</v>
      </c>
      <c r="J164" s="22" t="s">
        <v>246</v>
      </c>
    </row>
    <row r="165" spans="1:10" x14ac:dyDescent="0.15">
      <c r="A165" s="2">
        <f t="shared" si="5"/>
        <v>50609</v>
      </c>
      <c r="B165" s="3">
        <v>5</v>
      </c>
      <c r="C165" s="24">
        <f t="shared" si="4"/>
        <v>50610</v>
      </c>
      <c r="D165" s="22" t="str">
        <f>"newbie_name_"&amp;表6[[#This Row],[任务ID]]</f>
        <v>newbie_name_50609</v>
      </c>
      <c r="E165" s="23">
        <v>2</v>
      </c>
      <c r="F165" s="23">
        <v>8</v>
      </c>
      <c r="G165" s="3">
        <v>140</v>
      </c>
      <c r="H165" t="s">
        <v>380</v>
      </c>
      <c r="I165" s="3">
        <v>7</v>
      </c>
      <c r="J165" s="22" t="s">
        <v>247</v>
      </c>
    </row>
    <row r="166" spans="1:10" x14ac:dyDescent="0.15">
      <c r="A166" s="2">
        <f t="shared" si="5"/>
        <v>50610</v>
      </c>
      <c r="B166" s="3">
        <v>5</v>
      </c>
      <c r="C166" s="24">
        <f t="shared" si="4"/>
        <v>0</v>
      </c>
      <c r="D166" s="22" t="str">
        <f>"newbie_name_"&amp;表6[[#This Row],[任务ID]]</f>
        <v>newbie_name_50610</v>
      </c>
      <c r="E166" s="23">
        <v>2</v>
      </c>
      <c r="F166" s="23">
        <v>8</v>
      </c>
      <c r="G166" s="3">
        <v>160</v>
      </c>
      <c r="H166" t="s">
        <v>381</v>
      </c>
      <c r="I166" s="3">
        <v>8</v>
      </c>
      <c r="J166" s="22" t="s">
        <v>248</v>
      </c>
    </row>
    <row r="167" spans="1:10" x14ac:dyDescent="0.15">
      <c r="A167" s="2">
        <f t="shared" si="5"/>
        <v>60000</v>
      </c>
      <c r="B167" s="3">
        <v>6</v>
      </c>
      <c r="C167" s="24">
        <f t="shared" si="4"/>
        <v>0</v>
      </c>
      <c r="D167" s="22" t="str">
        <f>"newbie_name_"&amp;表6[[#This Row],[任务ID]]</f>
        <v>newbie_name_60000</v>
      </c>
      <c r="E167" s="3">
        <v>13</v>
      </c>
      <c r="F167" s="3">
        <v>0</v>
      </c>
      <c r="G167" s="3">
        <v>6</v>
      </c>
      <c r="H167" t="s">
        <v>80</v>
      </c>
      <c r="I167" s="3">
        <v>6</v>
      </c>
      <c r="J167" s="3" t="s">
        <v>249</v>
      </c>
    </row>
    <row r="168" spans="1:10" x14ac:dyDescent="0.15">
      <c r="A168" s="2">
        <f t="shared" si="5"/>
        <v>60100</v>
      </c>
      <c r="B168" s="3">
        <v>6</v>
      </c>
      <c r="C168" s="24">
        <f t="shared" si="4"/>
        <v>0</v>
      </c>
      <c r="D168" s="22" t="str">
        <f>"newbie_name_"&amp;表6[[#This Row],[任务ID]]</f>
        <v>newbie_name_60100</v>
      </c>
      <c r="E168" s="3">
        <v>19</v>
      </c>
      <c r="F168" s="3">
        <v>1</v>
      </c>
      <c r="G168" s="3">
        <v>1</v>
      </c>
      <c r="H168" t="s">
        <v>382</v>
      </c>
      <c r="I168" s="3">
        <v>6</v>
      </c>
      <c r="J168" s="3" t="s">
        <v>93</v>
      </c>
    </row>
    <row r="169" spans="1:10" x14ac:dyDescent="0.15">
      <c r="A169" s="2">
        <f t="shared" si="5"/>
        <v>60200</v>
      </c>
      <c r="B169" s="3">
        <v>6</v>
      </c>
      <c r="C169" s="24">
        <f t="shared" si="4"/>
        <v>0</v>
      </c>
      <c r="D169" s="22" t="str">
        <f>"newbie_name_"&amp;表6[[#This Row],[任务ID]]</f>
        <v>newbie_name_60200</v>
      </c>
      <c r="E169" s="3">
        <v>0</v>
      </c>
      <c r="F169" s="3">
        <v>0</v>
      </c>
      <c r="G169" s="3">
        <v>1000</v>
      </c>
      <c r="H169" t="s">
        <v>82</v>
      </c>
      <c r="I169" s="3">
        <v>6</v>
      </c>
      <c r="J169" s="3" t="s">
        <v>250</v>
      </c>
    </row>
    <row r="170" spans="1:10" x14ac:dyDescent="0.15">
      <c r="A170" s="2">
        <f t="shared" si="5"/>
        <v>60300</v>
      </c>
      <c r="B170" s="3">
        <v>6</v>
      </c>
      <c r="C170" s="24">
        <f t="shared" si="4"/>
        <v>0</v>
      </c>
      <c r="D170" s="22" t="str">
        <f>"newbie_name_"&amp;表6[[#This Row],[任务ID]]</f>
        <v>newbie_name_60300</v>
      </c>
      <c r="E170" s="3">
        <v>0</v>
      </c>
      <c r="F170" s="3">
        <v>0</v>
      </c>
      <c r="G170" s="3">
        <v>750</v>
      </c>
      <c r="H170" t="s">
        <v>83</v>
      </c>
      <c r="I170" s="3">
        <v>6</v>
      </c>
      <c r="J170" s="3" t="s">
        <v>251</v>
      </c>
    </row>
    <row r="171" spans="1:10" x14ac:dyDescent="0.15">
      <c r="A171" s="2">
        <f t="shared" si="5"/>
        <v>60400</v>
      </c>
      <c r="B171" s="3">
        <v>6</v>
      </c>
      <c r="C171" s="24">
        <f t="shared" si="4"/>
        <v>60401</v>
      </c>
      <c r="D171" s="22" t="str">
        <f>"newbie_name_"&amp;表6[[#This Row],[任务ID]]</f>
        <v>newbie_name_60400</v>
      </c>
      <c r="E171" s="3">
        <v>31</v>
      </c>
      <c r="F171" s="3">
        <v>0</v>
      </c>
      <c r="G171" s="3">
        <v>10</v>
      </c>
      <c r="H171" t="s">
        <v>383</v>
      </c>
      <c r="I171" s="3">
        <v>6</v>
      </c>
      <c r="J171" s="3" t="s">
        <v>252</v>
      </c>
    </row>
    <row r="172" spans="1:10" x14ac:dyDescent="0.15">
      <c r="A172" s="2">
        <f t="shared" si="5"/>
        <v>60401</v>
      </c>
      <c r="B172" s="3">
        <v>6</v>
      </c>
      <c r="C172" s="24">
        <f t="shared" si="4"/>
        <v>60402</v>
      </c>
      <c r="D172" s="22" t="str">
        <f>"newbie_name_"&amp;表6[[#This Row],[任务ID]]</f>
        <v>newbie_name_60401</v>
      </c>
      <c r="E172" s="3">
        <v>31</v>
      </c>
      <c r="F172" s="3">
        <v>0</v>
      </c>
      <c r="G172" s="3">
        <v>20</v>
      </c>
      <c r="H172" t="s">
        <v>383</v>
      </c>
      <c r="I172" s="3">
        <v>6</v>
      </c>
      <c r="J172" s="3" t="s">
        <v>253</v>
      </c>
    </row>
    <row r="173" spans="1:10" x14ac:dyDescent="0.15">
      <c r="A173" s="2">
        <f t="shared" si="5"/>
        <v>60402</v>
      </c>
      <c r="B173" s="3">
        <v>6</v>
      </c>
      <c r="C173" s="24">
        <f t="shared" si="4"/>
        <v>60403</v>
      </c>
      <c r="D173" s="22" t="str">
        <f>"newbie_name_"&amp;表6[[#This Row],[任务ID]]</f>
        <v>newbie_name_60402</v>
      </c>
      <c r="E173" s="3">
        <v>31</v>
      </c>
      <c r="F173" s="3">
        <v>0</v>
      </c>
      <c r="G173" s="3">
        <v>40</v>
      </c>
      <c r="H173" t="s">
        <v>384</v>
      </c>
      <c r="I173" s="3">
        <v>6</v>
      </c>
      <c r="J173" s="3" t="s">
        <v>254</v>
      </c>
    </row>
    <row r="174" spans="1:10" x14ac:dyDescent="0.15">
      <c r="A174" s="2">
        <f t="shared" si="5"/>
        <v>60403</v>
      </c>
      <c r="B174" s="3">
        <v>6</v>
      </c>
      <c r="C174" s="24">
        <f t="shared" si="4"/>
        <v>60404</v>
      </c>
      <c r="D174" s="22" t="str">
        <f>"newbie_name_"&amp;表6[[#This Row],[任务ID]]</f>
        <v>newbie_name_60403</v>
      </c>
      <c r="E174" s="3">
        <v>31</v>
      </c>
      <c r="F174" s="3">
        <v>0</v>
      </c>
      <c r="G174" s="3">
        <v>60</v>
      </c>
      <c r="H174" t="s">
        <v>384</v>
      </c>
      <c r="I174" s="3">
        <v>6</v>
      </c>
      <c r="J174" s="3" t="s">
        <v>255</v>
      </c>
    </row>
    <row r="175" spans="1:10" x14ac:dyDescent="0.15">
      <c r="A175" s="2">
        <f t="shared" si="5"/>
        <v>60404</v>
      </c>
      <c r="B175" s="3">
        <v>6</v>
      </c>
      <c r="C175" s="24">
        <f t="shared" si="4"/>
        <v>60405</v>
      </c>
      <c r="D175" s="22" t="str">
        <f>"newbie_name_"&amp;表6[[#This Row],[任务ID]]</f>
        <v>newbie_name_60404</v>
      </c>
      <c r="E175" s="3">
        <v>31</v>
      </c>
      <c r="F175" s="3">
        <v>0</v>
      </c>
      <c r="G175" s="3">
        <v>80</v>
      </c>
      <c r="H175" t="s">
        <v>384</v>
      </c>
      <c r="I175" s="3">
        <v>6</v>
      </c>
      <c r="J175" s="3" t="s">
        <v>256</v>
      </c>
    </row>
    <row r="176" spans="1:10" x14ac:dyDescent="0.15">
      <c r="A176" s="2">
        <f t="shared" si="5"/>
        <v>60405</v>
      </c>
      <c r="B176" s="3">
        <v>6</v>
      </c>
      <c r="C176" s="24">
        <f t="shared" si="4"/>
        <v>60406</v>
      </c>
      <c r="D176" s="22" t="str">
        <f>"newbie_name_"&amp;表6[[#This Row],[任务ID]]</f>
        <v>newbie_name_60405</v>
      </c>
      <c r="E176" s="3">
        <v>31</v>
      </c>
      <c r="F176" s="3">
        <v>0</v>
      </c>
      <c r="G176" s="3">
        <v>100</v>
      </c>
      <c r="H176" t="s">
        <v>384</v>
      </c>
      <c r="I176" s="3">
        <v>7</v>
      </c>
      <c r="J176" s="3" t="s">
        <v>257</v>
      </c>
    </row>
    <row r="177" spans="1:10" x14ac:dyDescent="0.15">
      <c r="A177" s="2">
        <f t="shared" si="5"/>
        <v>60406</v>
      </c>
      <c r="B177" s="3">
        <v>6</v>
      </c>
      <c r="C177" s="24">
        <f t="shared" si="4"/>
        <v>60407</v>
      </c>
      <c r="D177" s="22" t="str">
        <f>"newbie_name_"&amp;表6[[#This Row],[任务ID]]</f>
        <v>newbie_name_60406</v>
      </c>
      <c r="E177" s="3">
        <v>31</v>
      </c>
      <c r="F177" s="3">
        <v>0</v>
      </c>
      <c r="G177" s="3">
        <v>150</v>
      </c>
      <c r="H177" t="s">
        <v>385</v>
      </c>
      <c r="I177" s="3">
        <v>7</v>
      </c>
      <c r="J177" s="3" t="s">
        <v>258</v>
      </c>
    </row>
    <row r="178" spans="1:10" x14ac:dyDescent="0.15">
      <c r="A178" s="2">
        <f t="shared" si="5"/>
        <v>60407</v>
      </c>
      <c r="B178" s="3">
        <v>6</v>
      </c>
      <c r="C178" s="24">
        <f t="shared" si="4"/>
        <v>60408</v>
      </c>
      <c r="D178" s="22" t="str">
        <f>"newbie_name_"&amp;表6[[#This Row],[任务ID]]</f>
        <v>newbie_name_60407</v>
      </c>
      <c r="E178" s="3">
        <v>31</v>
      </c>
      <c r="F178" s="3">
        <v>0</v>
      </c>
      <c r="G178" s="3">
        <v>200</v>
      </c>
      <c r="H178" t="s">
        <v>385</v>
      </c>
      <c r="I178" s="3">
        <v>8</v>
      </c>
      <c r="J178" s="3" t="s">
        <v>259</v>
      </c>
    </row>
    <row r="179" spans="1:10" x14ac:dyDescent="0.15">
      <c r="A179" s="2">
        <f t="shared" si="5"/>
        <v>60408</v>
      </c>
      <c r="B179" s="3">
        <v>6</v>
      </c>
      <c r="C179" s="24">
        <f t="shared" si="4"/>
        <v>0</v>
      </c>
      <c r="D179" s="22" t="str">
        <f>"newbie_name_"&amp;表6[[#This Row],[任务ID]]</f>
        <v>newbie_name_60408</v>
      </c>
      <c r="E179" s="3">
        <v>31</v>
      </c>
      <c r="F179" s="3">
        <v>0</v>
      </c>
      <c r="G179" s="3">
        <v>250</v>
      </c>
      <c r="H179" t="s">
        <v>385</v>
      </c>
      <c r="I179" s="3">
        <v>8</v>
      </c>
      <c r="J179" s="3" t="s">
        <v>260</v>
      </c>
    </row>
    <row r="180" spans="1:10" x14ac:dyDescent="0.15">
      <c r="A180" s="2">
        <f t="shared" si="5"/>
        <v>60500</v>
      </c>
      <c r="B180" s="3">
        <v>6</v>
      </c>
      <c r="C180" s="24">
        <f t="shared" si="4"/>
        <v>60501</v>
      </c>
      <c r="D180" s="22" t="str">
        <f>"newbie_name_"&amp;表6[[#This Row],[任务ID]]</f>
        <v>newbie_name_60500</v>
      </c>
      <c r="E180" s="23">
        <v>2</v>
      </c>
      <c r="F180" s="23">
        <v>9</v>
      </c>
      <c r="G180" s="3">
        <v>1</v>
      </c>
      <c r="H180" t="s">
        <v>386</v>
      </c>
      <c r="I180" s="3">
        <v>6</v>
      </c>
      <c r="J180" s="22" t="s">
        <v>261</v>
      </c>
    </row>
    <row r="181" spans="1:10" x14ac:dyDescent="0.15">
      <c r="A181" s="2">
        <f t="shared" si="5"/>
        <v>60501</v>
      </c>
      <c r="B181" s="3">
        <v>6</v>
      </c>
      <c r="C181" s="24">
        <f t="shared" si="4"/>
        <v>60502</v>
      </c>
      <c r="D181" s="22" t="str">
        <f>"newbie_name_"&amp;表6[[#This Row],[任务ID]]</f>
        <v>newbie_name_60501</v>
      </c>
      <c r="E181" s="23">
        <v>2</v>
      </c>
      <c r="F181" s="23">
        <v>9</v>
      </c>
      <c r="G181" s="3">
        <v>2</v>
      </c>
      <c r="H181" t="s">
        <v>386</v>
      </c>
      <c r="I181" s="3">
        <v>6</v>
      </c>
      <c r="J181" s="22" t="s">
        <v>262</v>
      </c>
    </row>
    <row r="182" spans="1:10" x14ac:dyDescent="0.15">
      <c r="A182" s="2">
        <f t="shared" si="5"/>
        <v>60502</v>
      </c>
      <c r="B182" s="3">
        <v>6</v>
      </c>
      <c r="C182" s="24">
        <f t="shared" si="4"/>
        <v>60503</v>
      </c>
      <c r="D182" s="22" t="str">
        <f>"newbie_name_"&amp;表6[[#This Row],[任务ID]]</f>
        <v>newbie_name_60502</v>
      </c>
      <c r="E182" s="23">
        <v>2</v>
      </c>
      <c r="F182" s="23">
        <v>9</v>
      </c>
      <c r="G182" s="3">
        <v>4</v>
      </c>
      <c r="H182" t="s">
        <v>387</v>
      </c>
      <c r="I182" s="3">
        <v>6</v>
      </c>
      <c r="J182" s="22" t="s">
        <v>263</v>
      </c>
    </row>
    <row r="183" spans="1:10" x14ac:dyDescent="0.15">
      <c r="A183" s="2">
        <f t="shared" si="5"/>
        <v>60503</v>
      </c>
      <c r="B183" s="3">
        <v>6</v>
      </c>
      <c r="C183" s="24">
        <f t="shared" si="4"/>
        <v>60504</v>
      </c>
      <c r="D183" s="22" t="str">
        <f>"newbie_name_"&amp;表6[[#This Row],[任务ID]]</f>
        <v>newbie_name_60503</v>
      </c>
      <c r="E183" s="23">
        <v>2</v>
      </c>
      <c r="F183" s="23">
        <v>9</v>
      </c>
      <c r="G183" s="3">
        <v>6</v>
      </c>
      <c r="H183" t="s">
        <v>387</v>
      </c>
      <c r="I183" s="3">
        <v>6</v>
      </c>
      <c r="J183" s="22" t="s">
        <v>264</v>
      </c>
    </row>
    <row r="184" spans="1:10" x14ac:dyDescent="0.15">
      <c r="A184" s="2">
        <f t="shared" si="5"/>
        <v>60504</v>
      </c>
      <c r="B184" s="3">
        <v>6</v>
      </c>
      <c r="C184" s="24">
        <f t="shared" si="4"/>
        <v>60505</v>
      </c>
      <c r="D184" s="22" t="str">
        <f>"newbie_name_"&amp;表6[[#This Row],[任务ID]]</f>
        <v>newbie_name_60504</v>
      </c>
      <c r="E184" s="23">
        <v>2</v>
      </c>
      <c r="F184" s="23">
        <v>9</v>
      </c>
      <c r="G184" s="3">
        <v>8</v>
      </c>
      <c r="H184" t="s">
        <v>387</v>
      </c>
      <c r="I184" s="3">
        <v>6</v>
      </c>
      <c r="J184" s="22" t="s">
        <v>265</v>
      </c>
    </row>
    <row r="185" spans="1:10" x14ac:dyDescent="0.15">
      <c r="A185" s="2">
        <f t="shared" si="5"/>
        <v>60505</v>
      </c>
      <c r="B185" s="3">
        <v>6</v>
      </c>
      <c r="C185" s="24">
        <f t="shared" si="4"/>
        <v>60506</v>
      </c>
      <c r="D185" s="22" t="str">
        <f>"newbie_name_"&amp;表6[[#This Row],[任务ID]]</f>
        <v>newbie_name_60505</v>
      </c>
      <c r="E185" s="23">
        <v>2</v>
      </c>
      <c r="F185" s="23">
        <v>9</v>
      </c>
      <c r="G185" s="3">
        <v>10</v>
      </c>
      <c r="H185" t="s">
        <v>387</v>
      </c>
      <c r="I185" s="3">
        <v>6</v>
      </c>
      <c r="J185" s="22" t="s">
        <v>266</v>
      </c>
    </row>
    <row r="186" spans="1:10" x14ac:dyDescent="0.15">
      <c r="A186" s="2">
        <f t="shared" si="5"/>
        <v>60506</v>
      </c>
      <c r="B186" s="3">
        <v>6</v>
      </c>
      <c r="C186" s="24">
        <f t="shared" si="4"/>
        <v>60507</v>
      </c>
      <c r="D186" s="22" t="str">
        <f>"newbie_name_"&amp;表6[[#This Row],[任务ID]]</f>
        <v>newbie_name_60506</v>
      </c>
      <c r="E186" s="23">
        <v>2</v>
      </c>
      <c r="F186" s="23">
        <v>9</v>
      </c>
      <c r="G186" s="3">
        <v>12</v>
      </c>
      <c r="H186" t="s">
        <v>387</v>
      </c>
      <c r="I186" s="3">
        <v>6</v>
      </c>
      <c r="J186" s="22" t="s">
        <v>267</v>
      </c>
    </row>
    <row r="187" spans="1:10" x14ac:dyDescent="0.15">
      <c r="A187" s="2">
        <f t="shared" si="5"/>
        <v>60507</v>
      </c>
      <c r="B187" s="3">
        <v>6</v>
      </c>
      <c r="C187" s="24">
        <f t="shared" si="4"/>
        <v>60508</v>
      </c>
      <c r="D187" s="22" t="str">
        <f>"newbie_name_"&amp;表6[[#This Row],[任务ID]]</f>
        <v>newbie_name_60507</v>
      </c>
      <c r="E187" s="23">
        <v>2</v>
      </c>
      <c r="F187" s="23">
        <v>9</v>
      </c>
      <c r="G187" s="3">
        <v>14</v>
      </c>
      <c r="H187" t="s">
        <v>387</v>
      </c>
      <c r="I187" s="3">
        <v>7</v>
      </c>
      <c r="J187" s="22" t="s">
        <v>268</v>
      </c>
    </row>
    <row r="188" spans="1:10" x14ac:dyDescent="0.15">
      <c r="A188" s="2">
        <f t="shared" si="5"/>
        <v>60508</v>
      </c>
      <c r="B188" s="3">
        <v>6</v>
      </c>
      <c r="C188" s="24">
        <f t="shared" si="4"/>
        <v>60509</v>
      </c>
      <c r="D188" s="22" t="str">
        <f>"newbie_name_"&amp;表6[[#This Row],[任务ID]]</f>
        <v>newbie_name_60508</v>
      </c>
      <c r="E188" s="23">
        <v>2</v>
      </c>
      <c r="F188" s="23">
        <v>9</v>
      </c>
      <c r="G188" s="3">
        <v>16</v>
      </c>
      <c r="H188" t="s">
        <v>387</v>
      </c>
      <c r="I188" s="3">
        <v>7</v>
      </c>
      <c r="J188" s="22" t="s">
        <v>269</v>
      </c>
    </row>
    <row r="189" spans="1:10" x14ac:dyDescent="0.15">
      <c r="A189" s="2">
        <f t="shared" si="5"/>
        <v>60509</v>
      </c>
      <c r="B189" s="3">
        <v>6</v>
      </c>
      <c r="C189" s="24">
        <f t="shared" si="4"/>
        <v>60510</v>
      </c>
      <c r="D189" s="22" t="str">
        <f>"newbie_name_"&amp;表6[[#This Row],[任务ID]]</f>
        <v>newbie_name_60509</v>
      </c>
      <c r="E189" s="23">
        <v>2</v>
      </c>
      <c r="F189" s="23">
        <v>9</v>
      </c>
      <c r="G189" s="3">
        <v>18</v>
      </c>
      <c r="H189" t="s">
        <v>387</v>
      </c>
      <c r="I189" s="3">
        <v>8</v>
      </c>
      <c r="J189" s="22" t="s">
        <v>270</v>
      </c>
    </row>
    <row r="190" spans="1:10" x14ac:dyDescent="0.15">
      <c r="A190" s="2">
        <f t="shared" si="5"/>
        <v>60510</v>
      </c>
      <c r="B190" s="3">
        <v>6</v>
      </c>
      <c r="C190" s="24">
        <f t="shared" si="4"/>
        <v>0</v>
      </c>
      <c r="D190" s="22" t="str">
        <f>"newbie_name_"&amp;表6[[#This Row],[任务ID]]</f>
        <v>newbie_name_60510</v>
      </c>
      <c r="E190" s="23">
        <v>2</v>
      </c>
      <c r="F190" s="23">
        <v>9</v>
      </c>
      <c r="G190" s="3">
        <v>20</v>
      </c>
      <c r="H190" t="s">
        <v>387</v>
      </c>
      <c r="I190" s="3">
        <v>8</v>
      </c>
      <c r="J190" s="22" t="s">
        <v>271</v>
      </c>
    </row>
    <row r="191" spans="1:10" x14ac:dyDescent="0.15">
      <c r="A191" s="2">
        <f t="shared" si="5"/>
        <v>70000</v>
      </c>
      <c r="B191" s="3">
        <v>7</v>
      </c>
      <c r="C191" s="24">
        <f t="shared" si="4"/>
        <v>0</v>
      </c>
      <c r="D191" s="22" t="str">
        <f>"newbie_name_"&amp;表6[[#This Row],[任务ID]]</f>
        <v>newbie_name_70000</v>
      </c>
      <c r="E191" s="3">
        <v>13</v>
      </c>
      <c r="F191" s="3">
        <v>0</v>
      </c>
      <c r="G191" s="3">
        <v>7</v>
      </c>
      <c r="H191" t="s">
        <v>84</v>
      </c>
      <c r="I191" s="3">
        <v>7</v>
      </c>
      <c r="J191" s="3" t="s">
        <v>272</v>
      </c>
    </row>
    <row r="192" spans="1:10" x14ac:dyDescent="0.15">
      <c r="A192" s="2">
        <f t="shared" si="5"/>
        <v>70100</v>
      </c>
      <c r="B192" s="3">
        <v>7</v>
      </c>
      <c r="C192" s="24">
        <f t="shared" si="4"/>
        <v>0</v>
      </c>
      <c r="D192" s="22" t="str">
        <f>"newbie_name_"&amp;表6[[#This Row],[任务ID]]</f>
        <v>newbie_name_70100</v>
      </c>
      <c r="E192" s="3">
        <v>19</v>
      </c>
      <c r="F192" s="3">
        <v>1</v>
      </c>
      <c r="G192" s="3">
        <v>1</v>
      </c>
      <c r="H192" t="s">
        <v>85</v>
      </c>
      <c r="I192" s="3">
        <v>7</v>
      </c>
      <c r="J192" s="3" t="s">
        <v>93</v>
      </c>
    </row>
    <row r="193" spans="1:10" x14ac:dyDescent="0.15">
      <c r="A193" s="2">
        <f t="shared" si="5"/>
        <v>70200</v>
      </c>
      <c r="B193" s="3">
        <v>7</v>
      </c>
      <c r="C193" s="24">
        <f t="shared" si="4"/>
        <v>0</v>
      </c>
      <c r="D193" s="22" t="str">
        <f>"newbie_name_"&amp;表6[[#This Row],[任务ID]]</f>
        <v>newbie_name_70200</v>
      </c>
      <c r="E193" s="3">
        <v>0</v>
      </c>
      <c r="F193" s="3">
        <v>0</v>
      </c>
      <c r="G193" s="3">
        <v>500</v>
      </c>
      <c r="H193" t="s">
        <v>86</v>
      </c>
      <c r="I193" s="3">
        <v>7</v>
      </c>
      <c r="J193" s="3" t="s">
        <v>273</v>
      </c>
    </row>
    <row r="194" spans="1:10" x14ac:dyDescent="0.15">
      <c r="A194" s="2">
        <f t="shared" si="5"/>
        <v>70300</v>
      </c>
      <c r="B194" s="3">
        <v>7</v>
      </c>
      <c r="C194" s="24">
        <f t="shared" si="4"/>
        <v>0</v>
      </c>
      <c r="D194" s="22" t="str">
        <f>"newbie_name_"&amp;表6[[#This Row],[任务ID]]</f>
        <v>newbie_name_70300</v>
      </c>
      <c r="E194" s="3">
        <v>0</v>
      </c>
      <c r="F194" s="3">
        <v>0</v>
      </c>
      <c r="G194" s="3">
        <v>2000</v>
      </c>
      <c r="H194" t="s">
        <v>87</v>
      </c>
      <c r="I194" s="3">
        <v>7</v>
      </c>
      <c r="J194" s="3" t="s">
        <v>274</v>
      </c>
    </row>
    <row r="195" spans="1:10" x14ac:dyDescent="0.15">
      <c r="A195" s="2">
        <f t="shared" si="5"/>
        <v>70400</v>
      </c>
      <c r="B195" s="3">
        <v>7</v>
      </c>
      <c r="C195" s="24">
        <f t="shared" si="4"/>
        <v>70401</v>
      </c>
      <c r="D195" s="22" t="str">
        <f>"newbie_name_"&amp;表6[[#This Row],[任务ID]]</f>
        <v>newbie_name_70400</v>
      </c>
      <c r="E195" s="3">
        <v>10</v>
      </c>
      <c r="F195" s="3">
        <v>0</v>
      </c>
      <c r="G195" s="3">
        <v>500</v>
      </c>
      <c r="H195" t="s">
        <v>388</v>
      </c>
      <c r="I195" s="3">
        <v>7</v>
      </c>
      <c r="J195" s="3" t="s">
        <v>275</v>
      </c>
    </row>
    <row r="196" spans="1:10" x14ac:dyDescent="0.15">
      <c r="A196" s="2">
        <f t="shared" si="5"/>
        <v>70401</v>
      </c>
      <c r="B196" s="3">
        <v>7</v>
      </c>
      <c r="C196" s="24">
        <f t="shared" si="4"/>
        <v>70402</v>
      </c>
      <c r="D196" s="22" t="str">
        <f>"newbie_name_"&amp;表6[[#This Row],[任务ID]]</f>
        <v>newbie_name_70401</v>
      </c>
      <c r="E196" s="3">
        <v>10</v>
      </c>
      <c r="F196" s="3">
        <v>0</v>
      </c>
      <c r="G196" s="3">
        <v>1000</v>
      </c>
      <c r="H196" t="s">
        <v>388</v>
      </c>
      <c r="I196" s="3">
        <v>7</v>
      </c>
      <c r="J196" s="3" t="s">
        <v>276</v>
      </c>
    </row>
    <row r="197" spans="1:10" x14ac:dyDescent="0.15">
      <c r="A197" s="2">
        <f t="shared" si="5"/>
        <v>70402</v>
      </c>
      <c r="B197" s="3">
        <v>7</v>
      </c>
      <c r="C197" s="24">
        <f t="shared" ref="C197:C231" si="6">IF(OR(E197&lt;&gt;E198,E197=0),0,A198)</f>
        <v>70403</v>
      </c>
      <c r="D197" s="22" t="str">
        <f>"newbie_name_"&amp;表6[[#This Row],[任务ID]]</f>
        <v>newbie_name_70402</v>
      </c>
      <c r="E197" s="3">
        <v>10</v>
      </c>
      <c r="F197" s="3">
        <v>0</v>
      </c>
      <c r="G197" s="3">
        <v>2000</v>
      </c>
      <c r="H197" t="s">
        <v>389</v>
      </c>
      <c r="I197" s="3">
        <v>7</v>
      </c>
      <c r="J197" s="3" t="s">
        <v>277</v>
      </c>
    </row>
    <row r="198" spans="1:10" x14ac:dyDescent="0.15">
      <c r="A198" s="2">
        <f t="shared" ref="A198:A231" si="7">IF(B198&lt;&gt;B197,B198*10000,IF(OR(E198&lt;&gt;E197,E198=0),INT(A197/100)*100+100,A197+1))</f>
        <v>70403</v>
      </c>
      <c r="B198" s="3">
        <v>7</v>
      </c>
      <c r="C198" s="24">
        <f t="shared" si="6"/>
        <v>70404</v>
      </c>
      <c r="D198" s="22" t="str">
        <f>"newbie_name_"&amp;表6[[#This Row],[任务ID]]</f>
        <v>newbie_name_70403</v>
      </c>
      <c r="E198" s="3">
        <v>10</v>
      </c>
      <c r="F198" s="3">
        <v>0</v>
      </c>
      <c r="G198" s="3">
        <v>4000</v>
      </c>
      <c r="H198" t="s">
        <v>390</v>
      </c>
      <c r="I198" s="3">
        <v>7</v>
      </c>
      <c r="J198" s="3" t="s">
        <v>278</v>
      </c>
    </row>
    <row r="199" spans="1:10" x14ac:dyDescent="0.15">
      <c r="A199" s="2">
        <f t="shared" si="7"/>
        <v>70404</v>
      </c>
      <c r="B199" s="3">
        <v>7</v>
      </c>
      <c r="C199" s="24">
        <f t="shared" si="6"/>
        <v>70405</v>
      </c>
      <c r="D199" s="22" t="str">
        <f>"newbie_name_"&amp;表6[[#This Row],[任务ID]]</f>
        <v>newbie_name_70404</v>
      </c>
      <c r="E199" s="3">
        <v>10</v>
      </c>
      <c r="F199" s="3">
        <v>0</v>
      </c>
      <c r="G199" s="3">
        <v>6000</v>
      </c>
      <c r="H199" t="s">
        <v>390</v>
      </c>
      <c r="I199" s="3">
        <v>7</v>
      </c>
      <c r="J199" s="3" t="s">
        <v>279</v>
      </c>
    </row>
    <row r="200" spans="1:10" x14ac:dyDescent="0.15">
      <c r="A200" s="2">
        <f t="shared" si="7"/>
        <v>70405</v>
      </c>
      <c r="B200" s="3">
        <v>7</v>
      </c>
      <c r="C200" s="24">
        <f t="shared" si="6"/>
        <v>70406</v>
      </c>
      <c r="D200" s="22" t="str">
        <f>"newbie_name_"&amp;表6[[#This Row],[任务ID]]</f>
        <v>newbie_name_70405</v>
      </c>
      <c r="E200" s="3">
        <v>10</v>
      </c>
      <c r="F200" s="3">
        <v>0</v>
      </c>
      <c r="G200" s="3">
        <v>8000</v>
      </c>
      <c r="H200" t="s">
        <v>390</v>
      </c>
      <c r="I200" s="3">
        <v>7</v>
      </c>
      <c r="J200" s="3" t="s">
        <v>280</v>
      </c>
    </row>
    <row r="201" spans="1:10" x14ac:dyDescent="0.15">
      <c r="A201" s="2">
        <f t="shared" si="7"/>
        <v>70406</v>
      </c>
      <c r="B201" s="3">
        <v>7</v>
      </c>
      <c r="C201" s="24">
        <f t="shared" si="6"/>
        <v>70407</v>
      </c>
      <c r="D201" s="22" t="str">
        <f>"newbie_name_"&amp;表6[[#This Row],[任务ID]]</f>
        <v>newbie_name_70406</v>
      </c>
      <c r="E201" s="3">
        <v>10</v>
      </c>
      <c r="F201" s="3">
        <v>0</v>
      </c>
      <c r="G201" s="3">
        <v>10000</v>
      </c>
      <c r="H201" t="s">
        <v>390</v>
      </c>
      <c r="I201" s="3">
        <v>7</v>
      </c>
      <c r="J201" s="3" t="s">
        <v>281</v>
      </c>
    </row>
    <row r="202" spans="1:10" x14ac:dyDescent="0.15">
      <c r="A202" s="2">
        <f t="shared" si="7"/>
        <v>70407</v>
      </c>
      <c r="B202" s="3">
        <v>7</v>
      </c>
      <c r="C202" s="24">
        <f t="shared" si="6"/>
        <v>70408</v>
      </c>
      <c r="D202" s="22" t="str">
        <f>"newbie_name_"&amp;表6[[#This Row],[任务ID]]</f>
        <v>newbie_name_70407</v>
      </c>
      <c r="E202" s="3">
        <v>10</v>
      </c>
      <c r="F202" s="3">
        <v>0</v>
      </c>
      <c r="G202" s="3">
        <v>20000</v>
      </c>
      <c r="H202" t="s">
        <v>391</v>
      </c>
      <c r="I202" s="3">
        <v>7</v>
      </c>
      <c r="J202" s="3" t="s">
        <v>282</v>
      </c>
    </row>
    <row r="203" spans="1:10" x14ac:dyDescent="0.15">
      <c r="A203" s="2">
        <f t="shared" si="7"/>
        <v>70408</v>
      </c>
      <c r="B203" s="3">
        <v>7</v>
      </c>
      <c r="C203" s="24">
        <f t="shared" si="6"/>
        <v>70409</v>
      </c>
      <c r="D203" s="22" t="str">
        <f>"newbie_name_"&amp;表6[[#This Row],[任务ID]]</f>
        <v>newbie_name_70408</v>
      </c>
      <c r="E203" s="3">
        <v>10</v>
      </c>
      <c r="F203" s="3">
        <v>0</v>
      </c>
      <c r="G203" s="3">
        <v>30000</v>
      </c>
      <c r="H203" t="s">
        <v>391</v>
      </c>
      <c r="I203" s="3">
        <v>7</v>
      </c>
      <c r="J203" s="3" t="s">
        <v>283</v>
      </c>
    </row>
    <row r="204" spans="1:10" x14ac:dyDescent="0.15">
      <c r="A204" s="2">
        <f t="shared" si="7"/>
        <v>70409</v>
      </c>
      <c r="B204" s="3">
        <v>7</v>
      </c>
      <c r="C204" s="24">
        <f t="shared" si="6"/>
        <v>0</v>
      </c>
      <c r="D204" s="22" t="str">
        <f>"newbie_name_"&amp;表6[[#This Row],[任务ID]]</f>
        <v>newbie_name_70409</v>
      </c>
      <c r="E204" s="3">
        <v>10</v>
      </c>
      <c r="F204" s="3">
        <v>2</v>
      </c>
      <c r="G204" s="3">
        <v>50000</v>
      </c>
      <c r="H204" t="s">
        <v>392</v>
      </c>
      <c r="I204" s="3">
        <v>7</v>
      </c>
      <c r="J204" s="3" t="s">
        <v>284</v>
      </c>
    </row>
    <row r="205" spans="1:10" x14ac:dyDescent="0.15">
      <c r="A205" s="2">
        <f t="shared" si="7"/>
        <v>70500</v>
      </c>
      <c r="B205" s="3">
        <v>7</v>
      </c>
      <c r="C205" s="24">
        <f t="shared" si="6"/>
        <v>70501</v>
      </c>
      <c r="D205" s="22" t="str">
        <f>"newbie_name_"&amp;表6[[#This Row],[任务ID]]</f>
        <v>newbie_name_70500</v>
      </c>
      <c r="E205" s="3">
        <v>24</v>
      </c>
      <c r="F205" s="3">
        <v>0</v>
      </c>
      <c r="G205" s="3">
        <v>2</v>
      </c>
      <c r="H205" t="s">
        <v>393</v>
      </c>
      <c r="I205" s="3">
        <v>7</v>
      </c>
      <c r="J205" s="22" t="s">
        <v>285</v>
      </c>
    </row>
    <row r="206" spans="1:10" x14ac:dyDescent="0.15">
      <c r="A206" s="2">
        <f t="shared" si="7"/>
        <v>70501</v>
      </c>
      <c r="B206" s="3">
        <v>7</v>
      </c>
      <c r="C206" s="24">
        <f t="shared" si="6"/>
        <v>70502</v>
      </c>
      <c r="D206" s="22" t="str">
        <f>"newbie_name_"&amp;表6[[#This Row],[任务ID]]</f>
        <v>newbie_name_70501</v>
      </c>
      <c r="E206" s="3">
        <v>24</v>
      </c>
      <c r="F206" s="3">
        <v>0</v>
      </c>
      <c r="G206" s="3">
        <v>3</v>
      </c>
      <c r="H206" t="s">
        <v>394</v>
      </c>
      <c r="I206" s="3">
        <v>7</v>
      </c>
      <c r="J206" s="22" t="s">
        <v>286</v>
      </c>
    </row>
    <row r="207" spans="1:10" x14ac:dyDescent="0.15">
      <c r="A207" s="2">
        <f t="shared" si="7"/>
        <v>70502</v>
      </c>
      <c r="B207" s="3">
        <v>7</v>
      </c>
      <c r="C207" s="24">
        <f t="shared" si="6"/>
        <v>0</v>
      </c>
      <c r="D207" s="22" t="str">
        <f>"newbie_name_"&amp;表6[[#This Row],[任务ID]]</f>
        <v>newbie_name_70502</v>
      </c>
      <c r="E207" s="3">
        <v>24</v>
      </c>
      <c r="F207" s="3">
        <v>0</v>
      </c>
      <c r="G207" s="3">
        <v>4</v>
      </c>
      <c r="H207" t="s">
        <v>395</v>
      </c>
      <c r="I207" s="3">
        <v>7</v>
      </c>
      <c r="J207" s="22" t="s">
        <v>287</v>
      </c>
    </row>
    <row r="208" spans="1:10" x14ac:dyDescent="0.15">
      <c r="A208" s="2">
        <f t="shared" si="7"/>
        <v>80000</v>
      </c>
      <c r="B208" s="3">
        <v>8</v>
      </c>
      <c r="C208" s="24">
        <f t="shared" si="6"/>
        <v>0</v>
      </c>
      <c r="D208" s="22" t="str">
        <f>"newbie_name_"&amp;表6[[#This Row],[任务ID]]</f>
        <v>newbie_name_80000</v>
      </c>
      <c r="E208" s="3">
        <v>13</v>
      </c>
      <c r="F208" s="3">
        <v>0</v>
      </c>
      <c r="G208" s="3">
        <v>8</v>
      </c>
      <c r="H208" t="s">
        <v>88</v>
      </c>
      <c r="I208" s="3">
        <v>8</v>
      </c>
      <c r="J208" s="3" t="s">
        <v>288</v>
      </c>
    </row>
    <row r="209" spans="1:10" x14ac:dyDescent="0.15">
      <c r="A209" s="2">
        <f t="shared" si="7"/>
        <v>80100</v>
      </c>
      <c r="B209" s="3">
        <v>8</v>
      </c>
      <c r="C209" s="24">
        <f t="shared" si="6"/>
        <v>0</v>
      </c>
      <c r="D209" s="22" t="str">
        <f>"newbie_name_"&amp;表6[[#This Row],[任务ID]]</f>
        <v>newbie_name_80100</v>
      </c>
      <c r="E209" s="3">
        <v>19</v>
      </c>
      <c r="F209" s="3">
        <v>1</v>
      </c>
      <c r="G209" s="3">
        <v>1</v>
      </c>
      <c r="H209" t="s">
        <v>89</v>
      </c>
      <c r="I209" s="3">
        <v>8</v>
      </c>
      <c r="J209" s="3" t="s">
        <v>93</v>
      </c>
    </row>
    <row r="210" spans="1:10" x14ac:dyDescent="0.15">
      <c r="A210" s="2">
        <f t="shared" si="7"/>
        <v>80200</v>
      </c>
      <c r="B210" s="3">
        <v>8</v>
      </c>
      <c r="C210" s="24">
        <f t="shared" si="6"/>
        <v>0</v>
      </c>
      <c r="D210" s="22" t="str">
        <f>"newbie_name_"&amp;表6[[#This Row],[任务ID]]</f>
        <v>newbie_name_80200</v>
      </c>
      <c r="E210" s="3">
        <v>0</v>
      </c>
      <c r="F210" s="3">
        <v>0</v>
      </c>
      <c r="G210" s="3">
        <v>600</v>
      </c>
      <c r="H210" t="s">
        <v>90</v>
      </c>
      <c r="I210" s="3">
        <v>8</v>
      </c>
      <c r="J210" s="3" t="s">
        <v>94</v>
      </c>
    </row>
    <row r="211" spans="1:10" x14ac:dyDescent="0.15">
      <c r="A211" s="2">
        <f t="shared" si="7"/>
        <v>80300</v>
      </c>
      <c r="B211" s="3">
        <v>8</v>
      </c>
      <c r="C211" s="24">
        <f t="shared" si="6"/>
        <v>0</v>
      </c>
      <c r="D211" s="22" t="str">
        <f>"newbie_name_"&amp;表6[[#This Row],[任务ID]]</f>
        <v>newbie_name_80300</v>
      </c>
      <c r="E211" s="3">
        <v>0</v>
      </c>
      <c r="F211" s="3">
        <v>0</v>
      </c>
      <c r="G211" s="3">
        <v>1000</v>
      </c>
      <c r="H211" t="s">
        <v>91</v>
      </c>
      <c r="I211" s="3">
        <v>8</v>
      </c>
      <c r="J211" s="3" t="s">
        <v>289</v>
      </c>
    </row>
    <row r="212" spans="1:10" x14ac:dyDescent="0.15">
      <c r="A212" s="2">
        <f t="shared" si="7"/>
        <v>80400</v>
      </c>
      <c r="B212" s="3">
        <v>8</v>
      </c>
      <c r="C212" s="24">
        <f t="shared" si="6"/>
        <v>80401</v>
      </c>
      <c r="D212" s="22" t="str">
        <f>"newbie_name_"&amp;表6[[#This Row],[任务ID]]</f>
        <v>newbie_name_80400</v>
      </c>
      <c r="E212" s="23">
        <v>8</v>
      </c>
      <c r="F212" s="23">
        <v>0</v>
      </c>
      <c r="G212" s="3">
        <v>50000</v>
      </c>
      <c r="H212" t="s">
        <v>396</v>
      </c>
      <c r="I212" s="3">
        <v>8</v>
      </c>
      <c r="J212" s="3" t="s">
        <v>290</v>
      </c>
    </row>
    <row r="213" spans="1:10" x14ac:dyDescent="0.15">
      <c r="A213" s="2">
        <f t="shared" si="7"/>
        <v>80401</v>
      </c>
      <c r="B213" s="3">
        <v>8</v>
      </c>
      <c r="C213" s="24">
        <f t="shared" si="6"/>
        <v>80402</v>
      </c>
      <c r="D213" s="22" t="str">
        <f>"newbie_name_"&amp;表6[[#This Row],[任务ID]]</f>
        <v>newbie_name_80401</v>
      </c>
      <c r="E213" s="23">
        <v>8</v>
      </c>
      <c r="F213" s="23">
        <v>0</v>
      </c>
      <c r="G213" s="3">
        <v>100000</v>
      </c>
      <c r="H213" t="s">
        <v>396</v>
      </c>
      <c r="I213" s="3">
        <v>8</v>
      </c>
      <c r="J213" s="3" t="s">
        <v>291</v>
      </c>
    </row>
    <row r="214" spans="1:10" x14ac:dyDescent="0.15">
      <c r="A214" s="2">
        <f t="shared" si="7"/>
        <v>80402</v>
      </c>
      <c r="B214" s="3">
        <v>8</v>
      </c>
      <c r="C214" s="24">
        <f t="shared" si="6"/>
        <v>80403</v>
      </c>
      <c r="D214" s="22" t="str">
        <f>"newbie_name_"&amp;表6[[#This Row],[任务ID]]</f>
        <v>newbie_name_80402</v>
      </c>
      <c r="E214" s="23">
        <v>8</v>
      </c>
      <c r="F214" s="23">
        <v>0</v>
      </c>
      <c r="G214" s="3">
        <v>150000</v>
      </c>
      <c r="H214" t="s">
        <v>396</v>
      </c>
      <c r="I214" s="3">
        <v>8</v>
      </c>
      <c r="J214" s="3" t="s">
        <v>292</v>
      </c>
    </row>
    <row r="215" spans="1:10" x14ac:dyDescent="0.15">
      <c r="A215" s="2">
        <f t="shared" si="7"/>
        <v>80403</v>
      </c>
      <c r="B215" s="3">
        <v>8</v>
      </c>
      <c r="C215" s="24">
        <f t="shared" si="6"/>
        <v>80404</v>
      </c>
      <c r="D215" s="22" t="str">
        <f>"newbie_name_"&amp;表6[[#This Row],[任务ID]]</f>
        <v>newbie_name_80403</v>
      </c>
      <c r="E215" s="23">
        <v>8</v>
      </c>
      <c r="F215" s="23">
        <v>0</v>
      </c>
      <c r="G215" s="3">
        <v>200000</v>
      </c>
      <c r="H215" t="s">
        <v>396</v>
      </c>
      <c r="I215" s="3">
        <v>8</v>
      </c>
      <c r="J215" s="3" t="s">
        <v>293</v>
      </c>
    </row>
    <row r="216" spans="1:10" x14ac:dyDescent="0.15">
      <c r="A216" s="2">
        <f t="shared" si="7"/>
        <v>80404</v>
      </c>
      <c r="B216" s="3">
        <v>8</v>
      </c>
      <c r="C216" s="24">
        <f t="shared" si="6"/>
        <v>80405</v>
      </c>
      <c r="D216" s="22" t="str">
        <f>"newbie_name_"&amp;表6[[#This Row],[任务ID]]</f>
        <v>newbie_name_80404</v>
      </c>
      <c r="E216" s="23">
        <v>8</v>
      </c>
      <c r="F216" s="23">
        <v>0</v>
      </c>
      <c r="G216" s="3">
        <v>250000</v>
      </c>
      <c r="H216" t="s">
        <v>396</v>
      </c>
      <c r="I216" s="3">
        <v>8</v>
      </c>
      <c r="J216" s="3" t="s">
        <v>294</v>
      </c>
    </row>
    <row r="217" spans="1:10" x14ac:dyDescent="0.15">
      <c r="A217" s="2">
        <f t="shared" si="7"/>
        <v>80405</v>
      </c>
      <c r="B217" s="3">
        <v>8</v>
      </c>
      <c r="C217" s="24">
        <f t="shared" si="6"/>
        <v>80406</v>
      </c>
      <c r="D217" s="22" t="str">
        <f>"newbie_name_"&amp;表6[[#This Row],[任务ID]]</f>
        <v>newbie_name_80405</v>
      </c>
      <c r="E217" s="23">
        <v>8</v>
      </c>
      <c r="F217" s="23">
        <v>0</v>
      </c>
      <c r="G217" s="3">
        <v>300000</v>
      </c>
      <c r="H217" t="s">
        <v>397</v>
      </c>
      <c r="I217" s="3">
        <v>8</v>
      </c>
      <c r="J217" s="3" t="s">
        <v>295</v>
      </c>
    </row>
    <row r="218" spans="1:10" x14ac:dyDescent="0.15">
      <c r="A218" s="2">
        <f t="shared" si="7"/>
        <v>80406</v>
      </c>
      <c r="B218" s="3">
        <v>8</v>
      </c>
      <c r="C218" s="24">
        <f t="shared" si="6"/>
        <v>80407</v>
      </c>
      <c r="D218" s="22" t="str">
        <f>"newbie_name_"&amp;表6[[#This Row],[任务ID]]</f>
        <v>newbie_name_80406</v>
      </c>
      <c r="E218" s="23">
        <v>8</v>
      </c>
      <c r="F218" s="23">
        <v>0</v>
      </c>
      <c r="G218" s="3">
        <v>500000</v>
      </c>
      <c r="H218" t="s">
        <v>397</v>
      </c>
      <c r="I218" s="3">
        <v>8</v>
      </c>
      <c r="J218" s="3" t="s">
        <v>296</v>
      </c>
    </row>
    <row r="219" spans="1:10" x14ac:dyDescent="0.15">
      <c r="A219" s="2">
        <f t="shared" si="7"/>
        <v>80407</v>
      </c>
      <c r="B219" s="3">
        <v>8</v>
      </c>
      <c r="C219" s="24">
        <f t="shared" si="6"/>
        <v>80408</v>
      </c>
      <c r="D219" s="22" t="str">
        <f>"newbie_name_"&amp;表6[[#This Row],[任务ID]]</f>
        <v>newbie_name_80407</v>
      </c>
      <c r="E219" s="23">
        <v>8</v>
      </c>
      <c r="F219" s="23">
        <v>0</v>
      </c>
      <c r="G219" s="3">
        <v>600000</v>
      </c>
      <c r="H219" t="s">
        <v>397</v>
      </c>
      <c r="I219" s="3">
        <v>8</v>
      </c>
      <c r="J219" s="3" t="s">
        <v>297</v>
      </c>
    </row>
    <row r="220" spans="1:10" x14ac:dyDescent="0.15">
      <c r="A220" s="2">
        <f t="shared" si="7"/>
        <v>80408</v>
      </c>
      <c r="B220" s="3">
        <v>8</v>
      </c>
      <c r="C220" s="24">
        <f t="shared" si="6"/>
        <v>80409</v>
      </c>
      <c r="D220" s="22" t="str">
        <f>"newbie_name_"&amp;表6[[#This Row],[任务ID]]</f>
        <v>newbie_name_80408</v>
      </c>
      <c r="E220" s="23">
        <v>8</v>
      </c>
      <c r="F220" s="23">
        <v>0</v>
      </c>
      <c r="G220" s="3">
        <v>700000</v>
      </c>
      <c r="H220" t="s">
        <v>397</v>
      </c>
      <c r="I220" s="3">
        <v>8</v>
      </c>
      <c r="J220" s="3" t="s">
        <v>298</v>
      </c>
    </row>
    <row r="221" spans="1:10" x14ac:dyDescent="0.15">
      <c r="A221" s="2">
        <f t="shared" si="7"/>
        <v>80409</v>
      </c>
      <c r="B221" s="3">
        <v>8</v>
      </c>
      <c r="C221" s="24">
        <f t="shared" si="6"/>
        <v>0</v>
      </c>
      <c r="D221" s="22" t="str">
        <f>"newbie_name_"&amp;表6[[#This Row],[任务ID]]</f>
        <v>newbie_name_80409</v>
      </c>
      <c r="E221" s="23">
        <v>8</v>
      </c>
      <c r="F221" s="23">
        <v>0</v>
      </c>
      <c r="G221" s="3">
        <v>800000</v>
      </c>
      <c r="H221" t="s">
        <v>397</v>
      </c>
      <c r="I221" s="3">
        <v>8</v>
      </c>
      <c r="J221" s="3" t="s">
        <v>299</v>
      </c>
    </row>
    <row r="222" spans="1:10" x14ac:dyDescent="0.15">
      <c r="A222" s="2">
        <f t="shared" si="7"/>
        <v>80500</v>
      </c>
      <c r="B222" s="3">
        <v>8</v>
      </c>
      <c r="C222" s="24">
        <f t="shared" si="6"/>
        <v>80501</v>
      </c>
      <c r="D222" s="22" t="str">
        <f>"newbie_name_"&amp;表6[[#This Row],[任务ID]]</f>
        <v>newbie_name_80500</v>
      </c>
      <c r="E222" s="23">
        <v>2</v>
      </c>
      <c r="F222" s="23">
        <v>10</v>
      </c>
      <c r="G222" s="3">
        <v>1</v>
      </c>
      <c r="H222" t="s">
        <v>398</v>
      </c>
      <c r="I222" s="3">
        <v>8</v>
      </c>
      <c r="J222" s="22" t="s">
        <v>300</v>
      </c>
    </row>
    <row r="223" spans="1:10" x14ac:dyDescent="0.15">
      <c r="A223" s="2">
        <f t="shared" si="7"/>
        <v>80501</v>
      </c>
      <c r="B223" s="3">
        <v>8</v>
      </c>
      <c r="C223" s="24">
        <f t="shared" si="6"/>
        <v>80502</v>
      </c>
      <c r="D223" s="22" t="str">
        <f>"newbie_name_"&amp;表6[[#This Row],[任务ID]]</f>
        <v>newbie_name_80501</v>
      </c>
      <c r="E223" s="23">
        <v>2</v>
      </c>
      <c r="F223" s="23">
        <v>10</v>
      </c>
      <c r="G223" s="3">
        <v>2</v>
      </c>
      <c r="H223" t="s">
        <v>398</v>
      </c>
      <c r="I223" s="3">
        <v>8</v>
      </c>
      <c r="J223" s="22" t="s">
        <v>301</v>
      </c>
    </row>
    <row r="224" spans="1:10" x14ac:dyDescent="0.15">
      <c r="A224" s="2">
        <f t="shared" si="7"/>
        <v>80502</v>
      </c>
      <c r="B224" s="3">
        <v>8</v>
      </c>
      <c r="C224" s="24">
        <f t="shared" si="6"/>
        <v>80503</v>
      </c>
      <c r="D224" s="22" t="str">
        <f>"newbie_name_"&amp;表6[[#This Row],[任务ID]]</f>
        <v>newbie_name_80502</v>
      </c>
      <c r="E224" s="23">
        <v>2</v>
      </c>
      <c r="F224" s="23">
        <v>10</v>
      </c>
      <c r="G224" s="3">
        <v>3</v>
      </c>
      <c r="H224" t="s">
        <v>398</v>
      </c>
      <c r="I224" s="3">
        <v>8</v>
      </c>
      <c r="J224" s="22" t="s">
        <v>302</v>
      </c>
    </row>
    <row r="225" spans="1:10" x14ac:dyDescent="0.15">
      <c r="A225" s="2">
        <f t="shared" si="7"/>
        <v>80503</v>
      </c>
      <c r="B225" s="3">
        <v>8</v>
      </c>
      <c r="C225" s="24">
        <f t="shared" si="6"/>
        <v>80504</v>
      </c>
      <c r="D225" s="22" t="str">
        <f>"newbie_name_"&amp;表6[[#This Row],[任务ID]]</f>
        <v>newbie_name_80503</v>
      </c>
      <c r="E225" s="23">
        <v>2</v>
      </c>
      <c r="F225" s="23">
        <v>10</v>
      </c>
      <c r="G225" s="3">
        <v>4</v>
      </c>
      <c r="H225" t="s">
        <v>398</v>
      </c>
      <c r="I225" s="3">
        <v>8</v>
      </c>
      <c r="J225" s="22" t="s">
        <v>303</v>
      </c>
    </row>
    <row r="226" spans="1:10" x14ac:dyDescent="0.15">
      <c r="A226" s="2">
        <f t="shared" si="7"/>
        <v>80504</v>
      </c>
      <c r="B226" s="3">
        <v>8</v>
      </c>
      <c r="C226" s="24">
        <f t="shared" si="6"/>
        <v>80505</v>
      </c>
      <c r="D226" s="22" t="str">
        <f>"newbie_name_"&amp;表6[[#This Row],[任务ID]]</f>
        <v>newbie_name_80504</v>
      </c>
      <c r="E226" s="23">
        <v>2</v>
      </c>
      <c r="F226" s="23">
        <v>10</v>
      </c>
      <c r="G226" s="3">
        <v>5</v>
      </c>
      <c r="H226" t="s">
        <v>398</v>
      </c>
      <c r="I226" s="3">
        <v>8</v>
      </c>
      <c r="J226" s="22" t="s">
        <v>304</v>
      </c>
    </row>
    <row r="227" spans="1:10" x14ac:dyDescent="0.15">
      <c r="A227" s="2">
        <f t="shared" si="7"/>
        <v>80505</v>
      </c>
      <c r="B227" s="3">
        <v>8</v>
      </c>
      <c r="C227" s="24">
        <f t="shared" si="6"/>
        <v>80506</v>
      </c>
      <c r="D227" s="22" t="str">
        <f>"newbie_name_"&amp;表6[[#This Row],[任务ID]]</f>
        <v>newbie_name_80505</v>
      </c>
      <c r="E227" s="23">
        <v>2</v>
      </c>
      <c r="F227" s="23">
        <v>10</v>
      </c>
      <c r="G227" s="3">
        <v>6</v>
      </c>
      <c r="H227" t="s">
        <v>398</v>
      </c>
      <c r="I227" s="3">
        <v>8</v>
      </c>
      <c r="J227" s="22" t="s">
        <v>305</v>
      </c>
    </row>
    <row r="228" spans="1:10" x14ac:dyDescent="0.15">
      <c r="A228" s="2">
        <f t="shared" si="7"/>
        <v>80506</v>
      </c>
      <c r="B228" s="3">
        <v>8</v>
      </c>
      <c r="C228" s="24">
        <f t="shared" si="6"/>
        <v>80507</v>
      </c>
      <c r="D228" s="22" t="str">
        <f>"newbie_name_"&amp;表6[[#This Row],[任务ID]]</f>
        <v>newbie_name_80506</v>
      </c>
      <c r="E228" s="23">
        <v>2</v>
      </c>
      <c r="F228" s="23">
        <v>10</v>
      </c>
      <c r="G228" s="3">
        <v>7</v>
      </c>
      <c r="H228" t="s">
        <v>398</v>
      </c>
      <c r="I228" s="3">
        <v>8</v>
      </c>
      <c r="J228" s="22" t="s">
        <v>306</v>
      </c>
    </row>
    <row r="229" spans="1:10" x14ac:dyDescent="0.15">
      <c r="A229" s="2">
        <f t="shared" si="7"/>
        <v>80507</v>
      </c>
      <c r="B229" s="3">
        <v>8</v>
      </c>
      <c r="C229" s="24">
        <f t="shared" si="6"/>
        <v>80508</v>
      </c>
      <c r="D229" s="22" t="str">
        <f>"newbie_name_"&amp;表6[[#This Row],[任务ID]]</f>
        <v>newbie_name_80507</v>
      </c>
      <c r="E229" s="23">
        <v>2</v>
      </c>
      <c r="F229" s="23">
        <v>10</v>
      </c>
      <c r="G229" s="3">
        <v>8</v>
      </c>
      <c r="H229" t="s">
        <v>398</v>
      </c>
      <c r="I229" s="3">
        <v>8</v>
      </c>
      <c r="J229" s="22" t="s">
        <v>307</v>
      </c>
    </row>
    <row r="230" spans="1:10" x14ac:dyDescent="0.15">
      <c r="A230" s="2">
        <f t="shared" si="7"/>
        <v>80508</v>
      </c>
      <c r="B230" s="3">
        <v>8</v>
      </c>
      <c r="C230" s="24">
        <f t="shared" si="6"/>
        <v>80509</v>
      </c>
      <c r="D230" s="22" t="str">
        <f>"newbie_name_"&amp;表6[[#This Row],[任务ID]]</f>
        <v>newbie_name_80508</v>
      </c>
      <c r="E230" s="23">
        <v>2</v>
      </c>
      <c r="F230" s="23">
        <v>10</v>
      </c>
      <c r="G230" s="3">
        <v>9</v>
      </c>
      <c r="H230" t="s">
        <v>398</v>
      </c>
      <c r="I230" s="3">
        <v>8</v>
      </c>
      <c r="J230" s="22" t="s">
        <v>308</v>
      </c>
    </row>
    <row r="231" spans="1:10" x14ac:dyDescent="0.15">
      <c r="A231" s="2">
        <f t="shared" si="7"/>
        <v>80509</v>
      </c>
      <c r="B231" s="3">
        <v>8</v>
      </c>
      <c r="C231" s="24">
        <f t="shared" si="6"/>
        <v>0</v>
      </c>
      <c r="D231" s="22" t="str">
        <f>"newbie_name_"&amp;表6[[#This Row],[任务ID]]</f>
        <v>newbie_name_80509</v>
      </c>
      <c r="E231" s="23">
        <v>2</v>
      </c>
      <c r="F231" s="23">
        <v>10</v>
      </c>
      <c r="G231" s="3">
        <v>10</v>
      </c>
      <c r="H231" t="s">
        <v>398</v>
      </c>
      <c r="I231" s="3">
        <v>8</v>
      </c>
      <c r="J231" s="22" t="s">
        <v>309</v>
      </c>
    </row>
  </sheetData>
  <phoneticPr fontId="6" type="noConversion"/>
  <dataValidations disablePrompts="1" count="1">
    <dataValidation allowBlank="1" showInputMessage="1" showErrorMessage="1" promptTitle="版本&quot;,&quot;分割————————————" prompt="如果是所有版本，则填ALL" sqref="B1:D1" xr:uid="{B2E89D31-A760-47CE-958B-5DBD521DFF5D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USER-</cp:lastModifiedBy>
  <cp:lastPrinted>2016-03-25T01:45:00Z</cp:lastPrinted>
  <dcterms:created xsi:type="dcterms:W3CDTF">2014-05-14T18:22:00Z</dcterms:created>
  <dcterms:modified xsi:type="dcterms:W3CDTF">2018-05-15T07:11:31Z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