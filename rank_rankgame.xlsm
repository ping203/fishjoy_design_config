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41AF159A-5EA6-4D65-B6C3-1F465031F639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6" r:id="rId2"/>
  </sheets>
  <functionGroups builtInGroupCount="19"/>
  <calcPr calcId="179017"/>
</workbook>
</file>

<file path=xl/calcChain.xml><?xml version="1.0" encoding="utf-8"?>
<calcChain xmlns="http://schemas.openxmlformats.org/spreadsheetml/2006/main">
  <c r="E5" i="6" l="1"/>
  <c r="E6" i="6" s="1"/>
  <c r="E7" i="6" s="1"/>
  <c r="E8" i="6" s="1"/>
  <c r="E9" i="6" s="1"/>
  <c r="E10" i="6" s="1"/>
  <c r="E11" i="6" s="1"/>
  <c r="E12" i="6" s="1"/>
  <c r="E13" i="6" s="1"/>
  <c r="E14" i="6" s="1"/>
  <c r="E15" i="6" s="1"/>
  <c r="E16" i="6" s="1"/>
  <c r="E17" i="6" s="1"/>
  <c r="E18" i="6" s="1"/>
  <c r="E19" i="6" s="1"/>
  <c r="E20" i="6" s="1"/>
  <c r="E21" i="6" s="1"/>
  <c r="E22" i="6" s="1"/>
  <c r="E23" i="6" s="1"/>
  <c r="E24" i="6" s="1"/>
  <c r="E25" i="6" s="1"/>
  <c r="E26" i="6" s="1"/>
  <c r="E27" i="6" s="1"/>
  <c r="E28" i="6" s="1"/>
  <c r="E29" i="6" s="1"/>
  <c r="E30" i="6" s="1"/>
  <c r="E31" i="6" s="1"/>
</calcChain>
</file>

<file path=xl/sharedStrings.xml><?xml version="1.0" encoding="utf-8"?>
<sst xmlns="http://schemas.openxmlformats.org/spreadsheetml/2006/main" count="139" uniqueCount="109">
  <si>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</si>
  <si>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</si>
  <si>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</si>
  <si>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</si>
  <si>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</si>
  <si>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</si>
  <si>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</si>
  <si>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</si>
  <si>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</si>
  <si>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</si>
  <si>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</si>
  <si>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</si>
  <si>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id</t>
    <phoneticPr fontId="3" type="noConversion"/>
  </si>
  <si>
    <t>int</t>
    <phoneticPr fontId="3" type="noConversion"/>
  </si>
  <si>
    <t>赛季奖励</t>
    <phoneticPr fontId="3" type="noConversion"/>
  </si>
  <si>
    <t>匹配机器人时间</t>
    <phoneticPr fontId="3" type="noConversion"/>
  </si>
  <si>
    <t>time</t>
    <phoneticPr fontId="3" type="noConversion"/>
  </si>
  <si>
    <t>获胜宝箱</t>
    <phoneticPr fontId="3" type="noConversion"/>
  </si>
  <si>
    <t>seasonreward</t>
    <phoneticPr fontId="3" type="noConversion"/>
  </si>
  <si>
    <t>name</t>
    <phoneticPr fontId="3" type="noConversion"/>
  </si>
  <si>
    <t>string</t>
    <phoneticPr fontId="3" type="noConversion"/>
  </si>
  <si>
    <t>段位名称</t>
    <phoneticPr fontId="3" type="noConversion"/>
  </si>
  <si>
    <t>首胜宝箱</t>
    <phoneticPr fontId="3" type="noConversion"/>
  </si>
  <si>
    <t>treasure1</t>
    <phoneticPr fontId="3" type="noConversion"/>
  </si>
  <si>
    <t>treasure2</t>
    <phoneticPr fontId="3" type="noConversion"/>
  </si>
  <si>
    <t>int</t>
    <phoneticPr fontId="3" type="noConversion"/>
  </si>
  <si>
    <t>minranking</t>
    <phoneticPr fontId="3" type="noConversion"/>
  </si>
  <si>
    <t>maxranking</t>
    <phoneticPr fontId="3" type="noConversion"/>
  </si>
  <si>
    <t>最低排名</t>
    <phoneticPr fontId="3" type="noConversion"/>
  </si>
  <si>
    <t>最高排名</t>
    <phoneticPr fontId="3" type="noConversion"/>
  </si>
  <si>
    <t>int</t>
    <phoneticPr fontId="3" type="noConversion"/>
  </si>
  <si>
    <t>table</t>
    <phoneticPr fontId="3" type="noConversion"/>
  </si>
  <si>
    <t>需要积分</t>
    <phoneticPr fontId="3" type="noConversion"/>
  </si>
  <si>
    <t>integral</t>
    <phoneticPr fontId="3" type="noConversion"/>
  </si>
  <si>
    <t>参数</t>
    <phoneticPr fontId="3" type="noConversion"/>
  </si>
  <si>
    <t>value</t>
    <phoneticPr fontId="3" type="noConversion"/>
  </si>
  <si>
    <t>rankgame_name_1</t>
    <phoneticPr fontId="3" type="noConversion"/>
  </si>
  <si>
    <t>rankgame_name_2</t>
  </si>
  <si>
    <t>rankgame_name_3</t>
  </si>
  <si>
    <t>rankgame_name_4</t>
  </si>
  <si>
    <t>rankgame_name_5</t>
  </si>
  <si>
    <t>rankgame_name_6</t>
  </si>
  <si>
    <t>rankgame_name_7</t>
  </si>
  <si>
    <t>rankgame_name_8</t>
  </si>
  <si>
    <t>rankgame_name_9</t>
  </si>
  <si>
    <t>rankgame_name_10</t>
  </si>
  <si>
    <t>rankgame_name_11</t>
  </si>
  <si>
    <t>rankgame_name_12</t>
  </si>
  <si>
    <t>rankgame_name_13</t>
  </si>
  <si>
    <t>rankgame_name_14</t>
  </si>
  <si>
    <t>rankgame_name_15</t>
  </si>
  <si>
    <t>rankgame_name_16</t>
  </si>
  <si>
    <t>rankgame_name_17</t>
  </si>
  <si>
    <t>rankgame_name_18</t>
  </si>
  <si>
    <t>rankgame_name_19</t>
  </si>
  <si>
    <t>rankgame_name_20</t>
  </si>
  <si>
    <t>rankgame_name_21</t>
  </si>
  <si>
    <t>rankgame_name_22</t>
  </si>
  <si>
    <t>rankgame_name_23</t>
  </si>
  <si>
    <t>rankgame_name_24</t>
  </si>
  <si>
    <t>rankgame_name_25</t>
  </si>
  <si>
    <t>rankgame_name_26</t>
  </si>
  <si>
    <t>rankgame_name_27</t>
  </si>
  <si>
    <t>阶位</t>
    <phoneticPr fontId="3" type="noConversion"/>
  </si>
  <si>
    <t>int</t>
    <phoneticPr fontId="3" type="noConversion"/>
  </si>
  <si>
    <t>level</t>
    <phoneticPr fontId="3" type="noConversion"/>
  </si>
  <si>
    <t>table</t>
    <phoneticPr fontId="3" type="noConversion"/>
  </si>
  <si>
    <t>序号</t>
    <phoneticPr fontId="3" type="noConversion"/>
  </si>
  <si>
    <t>rankid</t>
    <phoneticPr fontId="3" type="noConversion"/>
  </si>
  <si>
    <t>段位</t>
    <phoneticPr fontId="3" type="noConversion"/>
  </si>
  <si>
    <t>机器人难度</t>
    <phoneticPr fontId="3" type="noConversion"/>
  </si>
  <si>
    <t>difficult</t>
    <phoneticPr fontId="3" type="noConversion"/>
  </si>
  <si>
    <t>float</t>
    <phoneticPr fontId="3" type="noConversion"/>
  </si>
  <si>
    <t>[[10,670],[11,240],[12,60],[13,30]]</t>
    <phoneticPr fontId="3" type="noConversion"/>
  </si>
  <si>
    <t>核弹参数</t>
    <phoneticPr fontId="3" type="noConversion"/>
  </si>
  <si>
    <t>nbgold</t>
    <phoneticPr fontId="3" type="noConversion"/>
  </si>
  <si>
    <t>int</t>
    <phoneticPr fontId="3" type="noConversion"/>
  </si>
  <si>
    <t>charm</t>
    <phoneticPr fontId="3" type="noConversion"/>
  </si>
  <si>
    <t>int</t>
    <phoneticPr fontId="3" type="noConversion"/>
  </si>
  <si>
    <t>魅力</t>
    <phoneticPr fontId="3" type="noConversion"/>
  </si>
  <si>
    <t>[["i001",100000],["i002",20],["i251",1]]</t>
  </si>
  <si>
    <t>[["i001",200000],["i002",40],["i251",1]]</t>
  </si>
  <si>
    <t>[["i001",300000],["i002",60],["i251",1]]</t>
  </si>
  <si>
    <t>[["i001",400000],["i002",80],["i251",1]]</t>
  </si>
  <si>
    <t>[["i001",500000],["i002",100],["i251",1]]</t>
  </si>
  <si>
    <t>[["i001",600000],["i002",120],["i252",1]]</t>
  </si>
  <si>
    <t>[["i001",700000],["i002",140],["i252",1]]</t>
  </si>
  <si>
    <t>[["i001",800000],["i002",160],["i252",1]]</t>
  </si>
  <si>
    <t>[["i001",900000],["i002",180],["i252",1]]</t>
  </si>
  <si>
    <t>[["i001",1000000],["i002",200],["i252",1]]</t>
  </si>
  <si>
    <t>[["i001",1100000],["i002",220],["i253",1]]</t>
  </si>
  <si>
    <t>[["i001",1200000],["i002",240],["i253",1]]</t>
  </si>
  <si>
    <t>[["i001",1300000],["i002",260],["i253",1]]</t>
  </si>
  <si>
    <t>[["i001",1400000],["i002",280],["i253",1]]</t>
  </si>
  <si>
    <t>[["i001",1500000],["i002",300],["i253",1]]</t>
  </si>
  <si>
    <t>[["i001",1600000],["i002",320],["i254",1]]</t>
  </si>
  <si>
    <t>[["i001",1700000],["i002",340],["i254",1]]</t>
  </si>
  <si>
    <t>[["i001",1800000],["i002",360],["i254",1]]</t>
  </si>
  <si>
    <t>[["i001",1900000],["i002",380],["i254",1]]</t>
  </si>
  <si>
    <t>[["i001",2000000],["i002",400],["i254",1]]</t>
  </si>
  <si>
    <t>[["i001",2200000],["i002",440],["i255",1]]</t>
  </si>
  <si>
    <t>[["i001",2400000],["i002",480],["i255",1]]</t>
  </si>
  <si>
    <t>[["i001",2600000],["i002",520],["i255",1]]</t>
  </si>
  <si>
    <t>[["i001",2800000],["i002",560],["i255",1]]</t>
  </si>
  <si>
    <t>[["i001",3000000],["i002",600],["i255",1]]</t>
  </si>
  <si>
    <t>[["i001",4000000],["i002",800],["i256",1]]</t>
  </si>
  <si>
    <t>[["i001",5000000],["i002",1000],["i257",1]]</t>
  </si>
  <si>
    <t>int</t>
    <phoneticPr fontId="6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</si>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</sst>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0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>
      <alignment vertical="center"/>
    </xf>
  </cellStyleXfs>
  <cellXfs count="20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4" fillId="0" borderId="0" xfId="0" applyFont="1" applyAlignment="1"/>
    <xf numFmtId="0" fontId="2" fillId="0" borderId="0" xfId="0" applyFont="1" applyAlignment="1">
      <alignment horizont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</cellXfs>
  <cellStyles count="2">
    <cellStyle name="常规" xfId="0" builtinId="0"/>
    <cellStyle name="常规 2" xfId="1" xr:uid="{599C025F-D0C2-415F-8BBB-4B8522F920E3}"/>
  </cellStyles>
  <dxfs count="5"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宋体"/>
        <family val="3"/>
        <charset val="134"/>
        <scheme val="none"/>
      </font>
      <alignment horizontal="general" vertical="bottom" textRotation="0" wrapText="0" indent="0" justifyLastLine="0" shrinkToFit="0" readingOrder="0"/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0</xdr:rowOff>
    </xdr:from>
    <xdr:to>
      <xdr:col>0</xdr:col>
      <xdr:colOff>295275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839A0697-6328-45A6-8BC5-13DB9E33A5E8}"/>
            </a:ext>
          </a:extLst>
        </xdr:cNvPr>
        <xdr:cNvSpPr/>
      </xdr:nvSpPr>
      <xdr:spPr>
        <a:xfrm>
          <a:off x="9525" y="0"/>
          <a:ext cx="285750" cy="457200"/>
        </a:xfrm>
        <a:prstGeom prst="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3_2" displayName="表3_2" ref="A4:O31" totalsRowShown="0" headerRowDxfId="4" tableBorderDxfId="3">
  <autoFilter ref="A4:O31" xr:uid="{00000000-0009-0000-0100-000001000000}"/>
  <tableColumns count="15">
    <tableColumn id="1" xr3:uid="{00000000-0010-0000-0000-000001000000}" name="序号"/>
    <tableColumn id="8" xr3:uid="{00000000-0010-0000-0000-000008000000}" name="段位"/>
    <tableColumn id="4" xr3:uid="{00000000-0010-0000-0000-000004000000}" name="阶位"/>
    <tableColumn id="2" xr3:uid="{00000000-0010-0000-0000-000002000000}" name="匹配机器人时间" dataDxfId="2"/>
    <tableColumn id="13" xr3:uid="{00000000-0010-0000-0000-00000D000000}" name="机器人难度" dataDxfId="1">
      <calculatedColumnFormula>MIN(IF(表3_2[[#This Row],[序号]]=1,0.7,E4+0.015),1.1)</calculatedColumnFormula>
    </tableColumn>
    <tableColumn id="3" xr3:uid="{00000000-0010-0000-0000-000003000000}" name="最低排名"/>
    <tableColumn id="10" xr3:uid="{00000000-0010-0000-0000-00000A000000}" name="最高排名"/>
    <tableColumn id="11" xr3:uid="{00000000-0010-0000-0000-00000B000000}" name="需要积分"/>
    <tableColumn id="12" xr3:uid="{00000000-0010-0000-0000-00000C000000}" name="参数"/>
    <tableColumn id="15" xr3:uid="{00000000-0010-0000-0000-00000F000000}" name="魅力" dataDxfId="0"/>
    <tableColumn id="14" xr3:uid="{00000000-0010-0000-0000-00000E000000}" name="核弹参数"/>
    <tableColumn id="5" xr3:uid="{00000000-0010-0000-0000-000005000000}" name="赛季奖励"/>
    <tableColumn id="6" xr3:uid="{00000000-0010-0000-0000-000006000000}" name="首胜宝箱"/>
    <tableColumn id="9" xr3:uid="{00000000-0010-0000-0000-000009000000}" name="获胜宝箱"/>
    <tableColumn id="7" xr3:uid="{00000000-0010-0000-0000-000007000000}" name="段位名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4" t="s">
        <v>4</v>
      </c>
      <c r="B3" t="s">
        <v>5</v>
      </c>
    </row>
    <row r="4" spans="1:2" ht="16.5" x14ac:dyDescent="0.15">
      <c r="A4" s="5" t="s">
        <v>6</v>
      </c>
      <c r="B4" t="s">
        <v>7</v>
      </c>
    </row>
    <row r="6" spans="1:2" x14ac:dyDescent="0.15">
      <c r="A6" s="9" t="s">
        <v>8</v>
      </c>
      <c r="B6" s="10"/>
    </row>
    <row r="7" spans="1:2" x14ac:dyDescent="0.15">
      <c r="A7" s="10"/>
      <c r="B7" s="10"/>
    </row>
    <row r="8" spans="1:2" x14ac:dyDescent="0.15">
      <c r="A8" s="10"/>
      <c r="B8" s="10"/>
    </row>
    <row r="9" spans="1:2" x14ac:dyDescent="0.15">
      <c r="A9" s="10"/>
      <c r="B9" s="10"/>
    </row>
    <row r="10" spans="1:2" x14ac:dyDescent="0.15">
      <c r="A10" s="10"/>
      <c r="B10" s="10"/>
    </row>
    <row r="11" spans="1:2" x14ac:dyDescent="0.15">
      <c r="A11" s="10"/>
      <c r="B11" s="10"/>
    </row>
    <row r="12" spans="1:2" x14ac:dyDescent="0.15">
      <c r="A12" s="10"/>
      <c r="B12" s="10"/>
    </row>
    <row r="13" spans="1:2" x14ac:dyDescent="0.15">
      <c r="A13" s="10"/>
      <c r="B13" s="10"/>
    </row>
    <row r="14" spans="1:2" x14ac:dyDescent="0.15">
      <c r="A14" s="10"/>
      <c r="B14" s="10"/>
    </row>
    <row r="15" spans="1:2" x14ac:dyDescent="0.15">
      <c r="A15" s="10"/>
      <c r="B15" s="10"/>
    </row>
    <row r="16" spans="1:2" ht="13.15" customHeight="1" x14ac:dyDescent="0.15">
      <c r="A16" s="10"/>
      <c r="B16" s="10"/>
    </row>
    <row r="17" spans="1:2" ht="4.1500000000000004" customHeight="1" x14ac:dyDescent="0.15">
      <c r="A17" s="10"/>
      <c r="B17" s="10"/>
    </row>
    <row r="18" spans="1:2" hidden="1" x14ac:dyDescent="0.15">
      <c r="A18" s="10"/>
      <c r="B18" s="10"/>
    </row>
    <row r="19" spans="1:2" hidden="1" x14ac:dyDescent="0.15">
      <c r="A19" s="10"/>
      <c r="B19" s="10"/>
    </row>
    <row r="20" spans="1:2" hidden="1" x14ac:dyDescent="0.15">
      <c r="A20" s="10"/>
      <c r="B20" s="10"/>
    </row>
    <row r="21" spans="1:2" ht="22.9" customHeight="1" x14ac:dyDescent="0.15">
      <c r="A21" s="10"/>
      <c r="B21" s="10"/>
    </row>
    <row r="22" spans="1:2" ht="45" customHeight="1" x14ac:dyDescent="0.15">
      <c r="A22" s="10"/>
      <c r="B22" s="10"/>
    </row>
    <row r="23" spans="1:2" ht="51" hidden="1" customHeight="1" x14ac:dyDescent="0.15">
      <c r="A23" s="10"/>
      <c r="B23" s="10"/>
    </row>
    <row r="24" spans="1:2" x14ac:dyDescent="0.15">
      <c r="A24" s="8" t="s">
        <v>9</v>
      </c>
      <c r="B24" s="8"/>
    </row>
    <row r="25" spans="1:2" x14ac:dyDescent="0.15">
      <c r="A25" s="8" t="s">
        <v>10</v>
      </c>
      <c r="B25" s="8"/>
    </row>
    <row r="26" spans="1:2" x14ac:dyDescent="0.15">
      <c r="A26" s="8" t="s">
        <v>11</v>
      </c>
      <c r="B26" s="8"/>
    </row>
    <row r="27" spans="1:2" x14ac:dyDescent="0.15">
      <c r="A27" s="8"/>
      <c r="B27" s="8"/>
    </row>
    <row r="28" spans="1:2" x14ac:dyDescent="0.15">
      <c r="A28" s="8"/>
      <c r="B28" s="8"/>
    </row>
    <row r="29" spans="1:2" x14ac:dyDescent="0.15">
      <c r="A29" s="8"/>
      <c r="B29" s="8"/>
    </row>
    <row r="30" spans="1:2" x14ac:dyDescent="0.15">
      <c r="A30" s="8"/>
      <c r="B30" s="8"/>
    </row>
    <row r="31" spans="1:2" x14ac:dyDescent="0.15">
      <c r="A31" s="8"/>
      <c r="B31" s="8"/>
    </row>
    <row r="32" spans="1:2" x14ac:dyDescent="0.15">
      <c r="A32" s="8"/>
      <c r="B32" s="8"/>
    </row>
    <row r="33" spans="1:2" x14ac:dyDescent="0.15">
      <c r="A33" s="8"/>
      <c r="B33" s="8"/>
    </row>
    <row r="34" spans="1:2" x14ac:dyDescent="0.15">
      <c r="A34" s="8"/>
      <c r="B34" s="8"/>
    </row>
    <row r="35" spans="1:2" x14ac:dyDescent="0.15">
      <c r="A35" s="8"/>
      <c r="B35" s="8"/>
    </row>
    <row r="36" spans="1:2" x14ac:dyDescent="0.15">
      <c r="A36" s="8"/>
      <c r="B36" s="8"/>
    </row>
    <row r="37" spans="1:2" x14ac:dyDescent="0.15">
      <c r="A37" s="8"/>
      <c r="B37" s="8"/>
    </row>
    <row r="38" spans="1:2" x14ac:dyDescent="0.15">
      <c r="A38" s="8"/>
      <c r="B38" s="8"/>
    </row>
    <row r="39" spans="1:2" x14ac:dyDescent="0.15">
      <c r="A39" s="8"/>
      <c r="B39" s="8"/>
    </row>
    <row r="40" spans="1:2" x14ac:dyDescent="0.15">
      <c r="A40" s="8"/>
      <c r="B40" s="8"/>
    </row>
    <row r="41" spans="1:2" x14ac:dyDescent="0.15">
      <c r="A41" s="8"/>
      <c r="B41" s="8"/>
    </row>
    <row r="42" spans="1:2" x14ac:dyDescent="0.15">
      <c r="A42" s="8"/>
      <c r="B42" s="8"/>
    </row>
    <row r="43" spans="1:2" x14ac:dyDescent="0.15">
      <c r="A43" s="8"/>
      <c r="B43" s="8"/>
    </row>
    <row r="44" spans="1:2" x14ac:dyDescent="0.15">
      <c r="A44" s="8"/>
      <c r="B44" s="8"/>
    </row>
    <row r="45" spans="1:2" x14ac:dyDescent="0.15">
      <c r="A45" s="8"/>
      <c r="B45" s="8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3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31"/>
  <sheetViews>
    <sheetView tabSelected="1" workbookViewId="0">
      <selection activeCell="B7" sqref="B7"/>
    </sheetView>
  </sheetViews>
  <sheetFormatPr defaultRowHeight="13.5" x14ac:dyDescent="0.15"/>
  <cols>
    <col min="1" max="2" width="10.625" customWidth="1"/>
    <col min="3" max="3" width="9" customWidth="1"/>
    <col min="4" max="4" width="16.125" bestFit="1" customWidth="1"/>
    <col min="5" max="5" width="11.25" customWidth="1"/>
    <col min="6" max="6" width="14.25" bestFit="1" customWidth="1"/>
    <col min="7" max="7" width="14.25" customWidth="1"/>
    <col min="8" max="8" width="12.375" bestFit="1" customWidth="1"/>
    <col min="9" max="9" width="7" bestFit="1" customWidth="1"/>
    <col min="10" max="10" width="7" customWidth="1"/>
    <col min="11" max="11" width="10.5" bestFit="1" customWidth="1"/>
    <col min="12" max="12" width="42.375" customWidth="1"/>
    <col min="13" max="13" width="14.25" customWidth="1"/>
    <col min="14" max="14" width="37.125" bestFit="1" customWidth="1"/>
    <col min="15" max="15" width="18.375" bestFit="1" customWidth="1"/>
  </cols>
  <sheetData>
    <row r="1" spans="1:27" s="12" customFormat="1" ht="12" customHeight="1" x14ac:dyDescent="0.15">
      <c r="A1" s="11"/>
      <c r="B1" s="12" t="s">
        <v>108</v>
      </c>
      <c r="C1" s="11"/>
      <c r="X1" s="13"/>
    </row>
    <row r="2" spans="1:27" s="16" customFormat="1" ht="12" customHeight="1" x14ac:dyDescent="0.15">
      <c r="A2" s="14" t="s">
        <v>12</v>
      </c>
      <c r="B2" s="15" t="s">
        <v>68</v>
      </c>
      <c r="C2" s="15" t="s">
        <v>65</v>
      </c>
      <c r="D2" s="15" t="s">
        <v>16</v>
      </c>
      <c r="E2" s="15" t="s">
        <v>71</v>
      </c>
      <c r="F2" s="15" t="s">
        <v>26</v>
      </c>
      <c r="G2" s="15" t="s">
        <v>27</v>
      </c>
      <c r="H2" s="15" t="s">
        <v>33</v>
      </c>
      <c r="I2" s="15" t="s">
        <v>35</v>
      </c>
      <c r="J2" s="15" t="s">
        <v>77</v>
      </c>
      <c r="K2" s="15" t="s">
        <v>75</v>
      </c>
      <c r="L2" s="15" t="s">
        <v>18</v>
      </c>
      <c r="M2" s="15" t="s">
        <v>23</v>
      </c>
      <c r="N2" s="15" t="s">
        <v>24</v>
      </c>
      <c r="O2" s="15" t="s">
        <v>19</v>
      </c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</row>
    <row r="3" spans="1:27" s="19" customFormat="1" ht="12" customHeight="1" x14ac:dyDescent="0.15">
      <c r="A3" s="17" t="s">
        <v>107</v>
      </c>
      <c r="B3" s="18" t="s">
        <v>13</v>
      </c>
      <c r="C3" s="18" t="s">
        <v>64</v>
      </c>
      <c r="D3" s="18" t="s">
        <v>13</v>
      </c>
      <c r="E3" s="18" t="s">
        <v>72</v>
      </c>
      <c r="F3" s="18" t="s">
        <v>13</v>
      </c>
      <c r="G3" s="18" t="s">
        <v>13</v>
      </c>
      <c r="H3" s="18" t="s">
        <v>25</v>
      </c>
      <c r="I3" s="18" t="s">
        <v>25</v>
      </c>
      <c r="J3" s="18" t="s">
        <v>78</v>
      </c>
      <c r="K3" s="18" t="s">
        <v>76</v>
      </c>
      <c r="L3" s="18" t="s">
        <v>31</v>
      </c>
      <c r="M3" s="18" t="s">
        <v>30</v>
      </c>
      <c r="N3" s="18" t="s">
        <v>66</v>
      </c>
      <c r="O3" s="18" t="s">
        <v>20</v>
      </c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</row>
    <row r="4" spans="1:27" x14ac:dyDescent="0.15">
      <c r="A4" s="7" t="s">
        <v>67</v>
      </c>
      <c r="B4" s="7" t="s">
        <v>69</v>
      </c>
      <c r="C4" s="3" t="s">
        <v>63</v>
      </c>
      <c r="D4" s="3" t="s">
        <v>15</v>
      </c>
      <c r="E4" s="3" t="s">
        <v>70</v>
      </c>
      <c r="F4" s="3" t="s">
        <v>28</v>
      </c>
      <c r="G4" s="3" t="s">
        <v>29</v>
      </c>
      <c r="H4" s="3" t="s">
        <v>32</v>
      </c>
      <c r="I4" s="3" t="s">
        <v>34</v>
      </c>
      <c r="J4" s="3" t="s">
        <v>79</v>
      </c>
      <c r="K4" s="3" t="s">
        <v>74</v>
      </c>
      <c r="L4" s="3" t="s">
        <v>14</v>
      </c>
      <c r="M4" s="3" t="s">
        <v>22</v>
      </c>
      <c r="N4" s="3" t="s">
        <v>17</v>
      </c>
      <c r="O4" s="3" t="s">
        <v>21</v>
      </c>
    </row>
    <row r="5" spans="1:27" x14ac:dyDescent="0.15">
      <c r="A5">
        <v>1</v>
      </c>
      <c r="B5">
        <v>7</v>
      </c>
      <c r="C5">
        <v>5</v>
      </c>
      <c r="D5">
        <v>5</v>
      </c>
      <c r="E5">
        <f>MIN(IF(表3_2[[#This Row],[序号]]=1,0.7,E4+0.015),1.1)</f>
        <v>0.7</v>
      </c>
      <c r="F5">
        <v>0</v>
      </c>
      <c r="G5">
        <v>0</v>
      </c>
      <c r="H5">
        <v>0</v>
      </c>
      <c r="I5">
        <v>10</v>
      </c>
      <c r="J5">
        <v>20</v>
      </c>
      <c r="K5">
        <v>51000</v>
      </c>
      <c r="L5" s="6" t="s">
        <v>80</v>
      </c>
      <c r="M5">
        <v>1</v>
      </c>
      <c r="N5" s="6" t="s">
        <v>73</v>
      </c>
      <c r="O5" s="6" t="s">
        <v>62</v>
      </c>
    </row>
    <row r="6" spans="1:27" x14ac:dyDescent="0.15">
      <c r="A6">
        <v>2</v>
      </c>
      <c r="B6">
        <v>7</v>
      </c>
      <c r="C6">
        <v>4</v>
      </c>
      <c r="D6">
        <v>5</v>
      </c>
      <c r="E6">
        <f>MIN(IF(表3_2[[#This Row],[序号]]=1,0.7,E5+0.015),1.1)</f>
        <v>0.71499999999999997</v>
      </c>
      <c r="F6">
        <v>0</v>
      </c>
      <c r="G6">
        <v>0</v>
      </c>
      <c r="H6">
        <v>100</v>
      </c>
      <c r="I6">
        <v>10</v>
      </c>
      <c r="J6">
        <v>40</v>
      </c>
      <c r="K6">
        <v>51200</v>
      </c>
      <c r="L6" s="6" t="s">
        <v>81</v>
      </c>
      <c r="M6">
        <v>1</v>
      </c>
      <c r="N6" s="6" t="s">
        <v>73</v>
      </c>
      <c r="O6" s="6" t="s">
        <v>61</v>
      </c>
    </row>
    <row r="7" spans="1:27" x14ac:dyDescent="0.15">
      <c r="A7">
        <v>3</v>
      </c>
      <c r="B7">
        <v>7</v>
      </c>
      <c r="C7">
        <v>3</v>
      </c>
      <c r="D7">
        <v>5</v>
      </c>
      <c r="E7">
        <f>MIN(IF(表3_2[[#This Row],[序号]]=1,0.7,E6+0.015),1.1)</f>
        <v>0.73</v>
      </c>
      <c r="F7">
        <v>0</v>
      </c>
      <c r="G7">
        <v>0</v>
      </c>
      <c r="H7">
        <v>300</v>
      </c>
      <c r="I7">
        <v>11</v>
      </c>
      <c r="J7">
        <v>60</v>
      </c>
      <c r="K7">
        <v>51400</v>
      </c>
      <c r="L7" t="s">
        <v>82</v>
      </c>
      <c r="M7">
        <v>1</v>
      </c>
      <c r="N7" s="6" t="s">
        <v>73</v>
      </c>
      <c r="O7" s="6" t="s">
        <v>60</v>
      </c>
    </row>
    <row r="8" spans="1:27" x14ac:dyDescent="0.15">
      <c r="A8">
        <v>4</v>
      </c>
      <c r="B8">
        <v>7</v>
      </c>
      <c r="C8">
        <v>2</v>
      </c>
      <c r="D8">
        <v>5</v>
      </c>
      <c r="E8">
        <f>MIN(IF(表3_2[[#This Row],[序号]]=1,0.7,E7+0.015),1.1)</f>
        <v>0.745</v>
      </c>
      <c r="F8">
        <v>0</v>
      </c>
      <c r="G8">
        <v>0</v>
      </c>
      <c r="H8">
        <v>500</v>
      </c>
      <c r="I8">
        <v>12</v>
      </c>
      <c r="J8">
        <v>80</v>
      </c>
      <c r="K8">
        <v>51600</v>
      </c>
      <c r="L8" t="s">
        <v>83</v>
      </c>
      <c r="M8">
        <v>1</v>
      </c>
      <c r="N8" s="6" t="s">
        <v>73</v>
      </c>
      <c r="O8" s="6" t="s">
        <v>59</v>
      </c>
    </row>
    <row r="9" spans="1:27" x14ac:dyDescent="0.15">
      <c r="A9">
        <v>5</v>
      </c>
      <c r="B9">
        <v>7</v>
      </c>
      <c r="C9">
        <v>1</v>
      </c>
      <c r="D9">
        <v>5</v>
      </c>
      <c r="E9">
        <f>MIN(IF(表3_2[[#This Row],[序号]]=1,0.7,E8+0.015),1.1)</f>
        <v>0.76</v>
      </c>
      <c r="F9">
        <v>0</v>
      </c>
      <c r="G9">
        <v>0</v>
      </c>
      <c r="H9">
        <v>700</v>
      </c>
      <c r="I9">
        <v>12</v>
      </c>
      <c r="J9">
        <v>100</v>
      </c>
      <c r="K9">
        <v>51800</v>
      </c>
      <c r="L9" t="s">
        <v>84</v>
      </c>
      <c r="M9">
        <v>1</v>
      </c>
      <c r="N9" s="6" t="s">
        <v>73</v>
      </c>
      <c r="O9" s="6" t="s">
        <v>58</v>
      </c>
    </row>
    <row r="10" spans="1:27" x14ac:dyDescent="0.15">
      <c r="A10">
        <v>6</v>
      </c>
      <c r="B10">
        <v>6</v>
      </c>
      <c r="C10">
        <v>5</v>
      </c>
      <c r="D10">
        <v>20</v>
      </c>
      <c r="E10">
        <f>MIN(IF(表3_2[[#This Row],[序号]]=1,0.7,E9+0.015),1.1)</f>
        <v>0.77500000000000002</v>
      </c>
      <c r="F10">
        <v>0</v>
      </c>
      <c r="G10">
        <v>0</v>
      </c>
      <c r="H10">
        <v>900</v>
      </c>
      <c r="I10">
        <v>13</v>
      </c>
      <c r="J10">
        <v>200</v>
      </c>
      <c r="K10">
        <v>52000</v>
      </c>
      <c r="L10" t="s">
        <v>85</v>
      </c>
      <c r="M10">
        <v>1</v>
      </c>
      <c r="N10" s="6" t="s">
        <v>73</v>
      </c>
      <c r="O10" s="6" t="s">
        <v>57</v>
      </c>
    </row>
    <row r="11" spans="1:27" x14ac:dyDescent="0.15">
      <c r="A11">
        <v>7</v>
      </c>
      <c r="B11">
        <v>6</v>
      </c>
      <c r="C11">
        <v>4</v>
      </c>
      <c r="D11">
        <v>25</v>
      </c>
      <c r="E11">
        <f>MIN(IF(表3_2[[#This Row],[序号]]=1,0.7,E10+0.015),1.1)</f>
        <v>0.79</v>
      </c>
      <c r="F11">
        <v>0</v>
      </c>
      <c r="G11">
        <v>0</v>
      </c>
      <c r="H11">
        <v>1100</v>
      </c>
      <c r="I11">
        <v>13</v>
      </c>
      <c r="J11">
        <v>240</v>
      </c>
      <c r="K11">
        <v>52500</v>
      </c>
      <c r="L11" s="6" t="s">
        <v>86</v>
      </c>
      <c r="M11">
        <v>1</v>
      </c>
      <c r="N11" s="6" t="s">
        <v>73</v>
      </c>
      <c r="O11" s="6" t="s">
        <v>56</v>
      </c>
    </row>
    <row r="12" spans="1:27" x14ac:dyDescent="0.15">
      <c r="A12">
        <v>8</v>
      </c>
      <c r="B12">
        <v>6</v>
      </c>
      <c r="C12">
        <v>3</v>
      </c>
      <c r="D12">
        <v>30</v>
      </c>
      <c r="E12">
        <f>MIN(IF(表3_2[[#This Row],[序号]]=1,0.7,E11+0.015),1.1)</f>
        <v>0.80500000000000005</v>
      </c>
      <c r="F12">
        <v>0</v>
      </c>
      <c r="G12">
        <v>0</v>
      </c>
      <c r="H12">
        <v>1300</v>
      </c>
      <c r="I12">
        <v>14</v>
      </c>
      <c r="J12">
        <v>280</v>
      </c>
      <c r="K12">
        <v>53000</v>
      </c>
      <c r="L12" t="s">
        <v>87</v>
      </c>
      <c r="M12">
        <v>1</v>
      </c>
      <c r="N12" s="6" t="s">
        <v>73</v>
      </c>
      <c r="O12" s="6" t="s">
        <v>55</v>
      </c>
    </row>
    <row r="13" spans="1:27" x14ac:dyDescent="0.15">
      <c r="A13">
        <v>9</v>
      </c>
      <c r="B13">
        <v>6</v>
      </c>
      <c r="C13">
        <v>2</v>
      </c>
      <c r="D13">
        <v>35</v>
      </c>
      <c r="E13">
        <f>MIN(IF(表3_2[[#This Row],[序号]]=1,0.7,E12+0.015),1.1)</f>
        <v>0.82000000000000006</v>
      </c>
      <c r="F13">
        <v>0</v>
      </c>
      <c r="G13">
        <v>0</v>
      </c>
      <c r="H13">
        <v>1500</v>
      </c>
      <c r="I13">
        <v>15</v>
      </c>
      <c r="J13">
        <v>320</v>
      </c>
      <c r="K13">
        <v>53500</v>
      </c>
      <c r="L13" t="s">
        <v>88</v>
      </c>
      <c r="M13">
        <v>1</v>
      </c>
      <c r="N13" s="6" t="s">
        <v>73</v>
      </c>
      <c r="O13" s="6" t="s">
        <v>54</v>
      </c>
    </row>
    <row r="14" spans="1:27" x14ac:dyDescent="0.15">
      <c r="A14">
        <v>10</v>
      </c>
      <c r="B14">
        <v>6</v>
      </c>
      <c r="C14">
        <v>1</v>
      </c>
      <c r="D14">
        <v>40</v>
      </c>
      <c r="E14">
        <f>MIN(IF(表3_2[[#This Row],[序号]]=1,0.7,E13+0.015),1.1)</f>
        <v>0.83500000000000008</v>
      </c>
      <c r="F14">
        <v>0</v>
      </c>
      <c r="G14">
        <v>0</v>
      </c>
      <c r="H14">
        <v>1700</v>
      </c>
      <c r="I14">
        <v>15</v>
      </c>
      <c r="J14">
        <v>360</v>
      </c>
      <c r="K14">
        <v>54000</v>
      </c>
      <c r="L14" t="s">
        <v>89</v>
      </c>
      <c r="M14">
        <v>1</v>
      </c>
      <c r="N14" s="6" t="s">
        <v>73</v>
      </c>
      <c r="O14" s="6" t="s">
        <v>53</v>
      </c>
    </row>
    <row r="15" spans="1:27" x14ac:dyDescent="0.15">
      <c r="A15">
        <v>11</v>
      </c>
      <c r="B15">
        <v>5</v>
      </c>
      <c r="C15">
        <v>5</v>
      </c>
      <c r="D15">
        <v>60</v>
      </c>
      <c r="E15">
        <f>MIN(IF(表3_2[[#This Row],[序号]]=1,0.7,E14+0.015),1.1)</f>
        <v>0.85000000000000009</v>
      </c>
      <c r="F15">
        <v>0</v>
      </c>
      <c r="G15">
        <v>0</v>
      </c>
      <c r="H15">
        <v>1900</v>
      </c>
      <c r="I15">
        <v>16</v>
      </c>
      <c r="J15">
        <v>500</v>
      </c>
      <c r="K15">
        <v>54500</v>
      </c>
      <c r="L15" t="s">
        <v>90</v>
      </c>
      <c r="M15">
        <v>1</v>
      </c>
      <c r="N15" s="6" t="s">
        <v>73</v>
      </c>
      <c r="O15" s="6" t="s">
        <v>52</v>
      </c>
    </row>
    <row r="16" spans="1:27" x14ac:dyDescent="0.15">
      <c r="A16">
        <v>12</v>
      </c>
      <c r="B16">
        <v>5</v>
      </c>
      <c r="C16">
        <v>4</v>
      </c>
      <c r="D16">
        <v>70</v>
      </c>
      <c r="E16">
        <f>MIN(IF(表3_2[[#This Row],[序号]]=1,0.7,E15+0.015),1.1)</f>
        <v>0.8650000000000001</v>
      </c>
      <c r="F16">
        <v>0</v>
      </c>
      <c r="G16">
        <v>0</v>
      </c>
      <c r="H16">
        <v>2000</v>
      </c>
      <c r="I16">
        <v>16</v>
      </c>
      <c r="J16">
        <v>600</v>
      </c>
      <c r="K16">
        <v>55000</v>
      </c>
      <c r="L16" t="s">
        <v>91</v>
      </c>
      <c r="M16">
        <v>1</v>
      </c>
      <c r="N16" s="6" t="s">
        <v>73</v>
      </c>
      <c r="O16" s="6" t="s">
        <v>51</v>
      </c>
    </row>
    <row r="17" spans="1:15" x14ac:dyDescent="0.15">
      <c r="A17">
        <v>13</v>
      </c>
      <c r="B17">
        <v>5</v>
      </c>
      <c r="C17">
        <v>3</v>
      </c>
      <c r="D17">
        <v>80</v>
      </c>
      <c r="E17">
        <f>MIN(IF(表3_2[[#This Row],[序号]]=1,0.7,E16+0.015),1.1)</f>
        <v>0.88000000000000012</v>
      </c>
      <c r="F17">
        <v>0</v>
      </c>
      <c r="G17">
        <v>0</v>
      </c>
      <c r="H17">
        <v>2100</v>
      </c>
      <c r="I17">
        <v>17</v>
      </c>
      <c r="J17">
        <v>700</v>
      </c>
      <c r="K17">
        <v>55500</v>
      </c>
      <c r="L17" t="s">
        <v>92</v>
      </c>
      <c r="M17">
        <v>1</v>
      </c>
      <c r="N17" s="6" t="s">
        <v>73</v>
      </c>
      <c r="O17" s="6" t="s">
        <v>50</v>
      </c>
    </row>
    <row r="18" spans="1:15" x14ac:dyDescent="0.15">
      <c r="A18">
        <v>14</v>
      </c>
      <c r="B18">
        <v>5</v>
      </c>
      <c r="C18">
        <v>2</v>
      </c>
      <c r="D18">
        <v>90</v>
      </c>
      <c r="E18">
        <f>MIN(IF(表3_2[[#This Row],[序号]]=1,0.7,E17+0.015),1.1)</f>
        <v>0.89500000000000013</v>
      </c>
      <c r="F18">
        <v>0</v>
      </c>
      <c r="G18">
        <v>0</v>
      </c>
      <c r="H18">
        <v>2200</v>
      </c>
      <c r="I18">
        <v>18</v>
      </c>
      <c r="J18">
        <v>800</v>
      </c>
      <c r="K18">
        <v>56000</v>
      </c>
      <c r="L18" t="s">
        <v>93</v>
      </c>
      <c r="M18">
        <v>1</v>
      </c>
      <c r="N18" s="6" t="s">
        <v>73</v>
      </c>
      <c r="O18" s="6" t="s">
        <v>49</v>
      </c>
    </row>
    <row r="19" spans="1:15" x14ac:dyDescent="0.15">
      <c r="A19">
        <v>15</v>
      </c>
      <c r="B19">
        <v>5</v>
      </c>
      <c r="C19">
        <v>1</v>
      </c>
      <c r="D19">
        <v>100</v>
      </c>
      <c r="E19">
        <f>MIN(IF(表3_2[[#This Row],[序号]]=1,0.7,E18+0.015),1.1)</f>
        <v>0.91000000000000014</v>
      </c>
      <c r="F19">
        <v>0</v>
      </c>
      <c r="G19">
        <v>0</v>
      </c>
      <c r="H19">
        <v>2300</v>
      </c>
      <c r="I19">
        <v>18</v>
      </c>
      <c r="J19">
        <v>900</v>
      </c>
      <c r="K19">
        <v>56500</v>
      </c>
      <c r="L19" t="s">
        <v>94</v>
      </c>
      <c r="M19">
        <v>1</v>
      </c>
      <c r="N19" s="6" t="s">
        <v>73</v>
      </c>
      <c r="O19" s="6" t="s">
        <v>48</v>
      </c>
    </row>
    <row r="20" spans="1:15" x14ac:dyDescent="0.15">
      <c r="A20">
        <v>16</v>
      </c>
      <c r="B20">
        <v>4</v>
      </c>
      <c r="C20">
        <v>5</v>
      </c>
      <c r="D20">
        <v>150</v>
      </c>
      <c r="E20">
        <f>MIN(IF(表3_2[[#This Row],[序号]]=1,0.7,E19+0.015),1.1)</f>
        <v>0.92500000000000016</v>
      </c>
      <c r="F20">
        <v>0</v>
      </c>
      <c r="G20">
        <v>0</v>
      </c>
      <c r="H20">
        <v>2500</v>
      </c>
      <c r="I20">
        <v>19</v>
      </c>
      <c r="J20">
        <v>1200</v>
      </c>
      <c r="K20">
        <v>57000</v>
      </c>
      <c r="L20" t="s">
        <v>95</v>
      </c>
      <c r="M20">
        <v>1</v>
      </c>
      <c r="N20" s="6" t="s">
        <v>73</v>
      </c>
      <c r="O20" s="6" t="s">
        <v>47</v>
      </c>
    </row>
    <row r="21" spans="1:15" x14ac:dyDescent="0.15">
      <c r="A21">
        <v>17</v>
      </c>
      <c r="B21">
        <v>4</v>
      </c>
      <c r="C21">
        <v>4</v>
      </c>
      <c r="D21">
        <v>160</v>
      </c>
      <c r="E21">
        <f>MIN(IF(表3_2[[#This Row],[序号]]=1,0.7,E20+0.015),1.1)</f>
        <v>0.94000000000000017</v>
      </c>
      <c r="F21">
        <v>0</v>
      </c>
      <c r="G21">
        <v>0</v>
      </c>
      <c r="H21">
        <v>2600</v>
      </c>
      <c r="I21">
        <v>20</v>
      </c>
      <c r="J21">
        <v>1400</v>
      </c>
      <c r="K21">
        <v>57500</v>
      </c>
      <c r="L21" t="s">
        <v>96</v>
      </c>
      <c r="M21">
        <v>1</v>
      </c>
      <c r="N21" s="6" t="s">
        <v>73</v>
      </c>
      <c r="O21" s="6" t="s">
        <v>46</v>
      </c>
    </row>
    <row r="22" spans="1:15" x14ac:dyDescent="0.15">
      <c r="A22">
        <v>18</v>
      </c>
      <c r="B22">
        <v>4</v>
      </c>
      <c r="C22">
        <v>3</v>
      </c>
      <c r="D22">
        <v>170</v>
      </c>
      <c r="E22">
        <f>MIN(IF(表3_2[[#This Row],[序号]]=1,0.7,E21+0.015),1.1)</f>
        <v>0.95500000000000018</v>
      </c>
      <c r="F22">
        <v>0</v>
      </c>
      <c r="G22">
        <v>0</v>
      </c>
      <c r="H22">
        <v>2700</v>
      </c>
      <c r="I22">
        <v>21</v>
      </c>
      <c r="J22">
        <v>1600</v>
      </c>
      <c r="K22">
        <v>58000</v>
      </c>
      <c r="L22" t="s">
        <v>97</v>
      </c>
      <c r="M22">
        <v>1</v>
      </c>
      <c r="N22" s="6" t="s">
        <v>73</v>
      </c>
      <c r="O22" s="6" t="s">
        <v>45</v>
      </c>
    </row>
    <row r="23" spans="1:15" x14ac:dyDescent="0.15">
      <c r="A23">
        <v>19</v>
      </c>
      <c r="B23">
        <v>4</v>
      </c>
      <c r="C23">
        <v>2</v>
      </c>
      <c r="D23">
        <v>180</v>
      </c>
      <c r="E23">
        <f>MIN(IF(表3_2[[#This Row],[序号]]=1,0.7,E22+0.015),1.1)</f>
        <v>0.9700000000000002</v>
      </c>
      <c r="F23">
        <v>0</v>
      </c>
      <c r="G23">
        <v>0</v>
      </c>
      <c r="H23">
        <v>2800</v>
      </c>
      <c r="I23">
        <v>22</v>
      </c>
      <c r="J23">
        <v>1800</v>
      </c>
      <c r="K23">
        <v>58500</v>
      </c>
      <c r="L23" t="s">
        <v>98</v>
      </c>
      <c r="M23">
        <v>1</v>
      </c>
      <c r="N23" s="6" t="s">
        <v>73</v>
      </c>
      <c r="O23" s="6" t="s">
        <v>44</v>
      </c>
    </row>
    <row r="24" spans="1:15" x14ac:dyDescent="0.15">
      <c r="A24">
        <v>20</v>
      </c>
      <c r="B24">
        <v>4</v>
      </c>
      <c r="C24">
        <v>1</v>
      </c>
      <c r="D24">
        <v>190</v>
      </c>
      <c r="E24">
        <f>MIN(IF(表3_2[[#This Row],[序号]]=1,0.7,E23+0.015),1.1)</f>
        <v>0.98500000000000021</v>
      </c>
      <c r="F24">
        <v>0</v>
      </c>
      <c r="G24">
        <v>0</v>
      </c>
      <c r="H24">
        <v>2900</v>
      </c>
      <c r="I24">
        <v>23</v>
      </c>
      <c r="J24">
        <v>2000</v>
      </c>
      <c r="K24">
        <v>59000</v>
      </c>
      <c r="L24" t="s">
        <v>99</v>
      </c>
      <c r="M24">
        <v>1</v>
      </c>
      <c r="N24" s="6" t="s">
        <v>73</v>
      </c>
      <c r="O24" s="6" t="s">
        <v>43</v>
      </c>
    </row>
    <row r="25" spans="1:15" x14ac:dyDescent="0.15">
      <c r="A25">
        <v>21</v>
      </c>
      <c r="B25">
        <v>3</v>
      </c>
      <c r="C25">
        <v>5</v>
      </c>
      <c r="D25">
        <v>240</v>
      </c>
      <c r="E25">
        <f>MIN(IF(表3_2[[#This Row],[序号]]=1,0.7,E24+0.015),1.1)</f>
        <v>1.0000000000000002</v>
      </c>
      <c r="F25">
        <v>0</v>
      </c>
      <c r="G25">
        <v>0</v>
      </c>
      <c r="H25">
        <v>3100</v>
      </c>
      <c r="I25">
        <v>24</v>
      </c>
      <c r="J25">
        <v>2400</v>
      </c>
      <c r="K25">
        <v>59500</v>
      </c>
      <c r="L25" t="s">
        <v>100</v>
      </c>
      <c r="M25">
        <v>1</v>
      </c>
      <c r="N25" s="6" t="s">
        <v>73</v>
      </c>
      <c r="O25" s="6" t="s">
        <v>42</v>
      </c>
    </row>
    <row r="26" spans="1:15" x14ac:dyDescent="0.15">
      <c r="A26">
        <v>22</v>
      </c>
      <c r="B26">
        <v>3</v>
      </c>
      <c r="C26">
        <v>4</v>
      </c>
      <c r="D26">
        <v>260</v>
      </c>
      <c r="E26">
        <f>MIN(IF(表3_2[[#This Row],[序号]]=1,0.7,E25+0.015),1.1)</f>
        <v>1.0150000000000001</v>
      </c>
      <c r="F26">
        <v>0</v>
      </c>
      <c r="G26">
        <v>0</v>
      </c>
      <c r="H26">
        <v>3200</v>
      </c>
      <c r="I26">
        <v>25</v>
      </c>
      <c r="J26">
        <v>2800</v>
      </c>
      <c r="K26">
        <v>60000</v>
      </c>
      <c r="L26" s="6" t="s">
        <v>101</v>
      </c>
      <c r="M26">
        <v>1</v>
      </c>
      <c r="N26" s="6" t="s">
        <v>73</v>
      </c>
      <c r="O26" s="6" t="s">
        <v>41</v>
      </c>
    </row>
    <row r="27" spans="1:15" x14ac:dyDescent="0.15">
      <c r="A27">
        <v>23</v>
      </c>
      <c r="B27">
        <v>3</v>
      </c>
      <c r="C27">
        <v>3</v>
      </c>
      <c r="D27">
        <v>280</v>
      </c>
      <c r="E27">
        <f>MIN(IF(表3_2[[#This Row],[序号]]=1,0.7,E26+0.015),1.1)</f>
        <v>1.03</v>
      </c>
      <c r="F27">
        <v>0</v>
      </c>
      <c r="G27">
        <v>0</v>
      </c>
      <c r="H27">
        <v>3300</v>
      </c>
      <c r="I27">
        <v>26</v>
      </c>
      <c r="J27">
        <v>3200</v>
      </c>
      <c r="K27">
        <v>60500</v>
      </c>
      <c r="L27" t="s">
        <v>102</v>
      </c>
      <c r="M27">
        <v>1</v>
      </c>
      <c r="N27" s="6" t="s">
        <v>73</v>
      </c>
      <c r="O27" s="6" t="s">
        <v>40</v>
      </c>
    </row>
    <row r="28" spans="1:15" x14ac:dyDescent="0.15">
      <c r="A28">
        <v>24</v>
      </c>
      <c r="B28">
        <v>3</v>
      </c>
      <c r="C28">
        <v>2</v>
      </c>
      <c r="D28">
        <v>300</v>
      </c>
      <c r="E28">
        <f>MIN(IF(表3_2[[#This Row],[序号]]=1,0.7,E27+0.015),1.1)</f>
        <v>1.0449999999999999</v>
      </c>
      <c r="F28">
        <v>0</v>
      </c>
      <c r="G28">
        <v>0</v>
      </c>
      <c r="H28">
        <v>3400</v>
      </c>
      <c r="I28">
        <v>27</v>
      </c>
      <c r="J28">
        <v>3600</v>
      </c>
      <c r="K28">
        <v>61000</v>
      </c>
      <c r="L28" t="s">
        <v>103</v>
      </c>
      <c r="M28">
        <v>1</v>
      </c>
      <c r="N28" s="6" t="s">
        <v>73</v>
      </c>
      <c r="O28" s="6" t="s">
        <v>39</v>
      </c>
    </row>
    <row r="29" spans="1:15" x14ac:dyDescent="0.15">
      <c r="A29">
        <v>25</v>
      </c>
      <c r="B29">
        <v>3</v>
      </c>
      <c r="C29">
        <v>1</v>
      </c>
      <c r="D29">
        <v>320</v>
      </c>
      <c r="E29">
        <f>MIN(IF(表3_2[[#This Row],[序号]]=1,0.7,E28+0.015),1.1)</f>
        <v>1.0599999999999998</v>
      </c>
      <c r="F29">
        <v>0</v>
      </c>
      <c r="G29">
        <v>0</v>
      </c>
      <c r="H29">
        <v>3500</v>
      </c>
      <c r="I29">
        <v>28</v>
      </c>
      <c r="J29">
        <v>4000</v>
      </c>
      <c r="K29">
        <v>61500</v>
      </c>
      <c r="L29" t="s">
        <v>104</v>
      </c>
      <c r="M29">
        <v>1</v>
      </c>
      <c r="N29" s="6" t="s">
        <v>73</v>
      </c>
      <c r="O29" s="6" t="s">
        <v>38</v>
      </c>
    </row>
    <row r="30" spans="1:15" x14ac:dyDescent="0.15">
      <c r="A30">
        <v>26</v>
      </c>
      <c r="B30">
        <v>2</v>
      </c>
      <c r="C30">
        <v>1</v>
      </c>
      <c r="D30">
        <v>500</v>
      </c>
      <c r="E30">
        <f>MIN(IF(表3_2[[#This Row],[序号]]=1,0.7,E29+0.015),1.1)</f>
        <v>1.0749999999999997</v>
      </c>
      <c r="F30">
        <v>2</v>
      </c>
      <c r="G30">
        <v>10</v>
      </c>
      <c r="H30">
        <v>3600</v>
      </c>
      <c r="I30">
        <v>29</v>
      </c>
      <c r="J30">
        <v>5000</v>
      </c>
      <c r="K30">
        <v>62000</v>
      </c>
      <c r="L30" s="6" t="s">
        <v>105</v>
      </c>
      <c r="M30">
        <v>1</v>
      </c>
      <c r="N30" s="6" t="s">
        <v>73</v>
      </c>
      <c r="O30" s="6" t="s">
        <v>37</v>
      </c>
    </row>
    <row r="31" spans="1:15" x14ac:dyDescent="0.15">
      <c r="A31">
        <v>27</v>
      </c>
      <c r="B31">
        <v>1</v>
      </c>
      <c r="C31">
        <v>1</v>
      </c>
      <c r="D31">
        <v>600</v>
      </c>
      <c r="E31">
        <f>MIN(IF(表3_2[[#This Row],[序号]]=1,0.7,E30+0.015),1.1)</f>
        <v>1.0899999999999996</v>
      </c>
      <c r="F31">
        <v>1</v>
      </c>
      <c r="G31">
        <v>1</v>
      </c>
      <c r="H31">
        <v>3800</v>
      </c>
      <c r="I31">
        <v>30</v>
      </c>
      <c r="J31">
        <v>6000</v>
      </c>
      <c r="K31">
        <v>63000</v>
      </c>
      <c r="L31" s="6" t="s">
        <v>106</v>
      </c>
      <c r="M31">
        <v>1</v>
      </c>
      <c r="N31" s="6" t="s">
        <v>73</v>
      </c>
      <c r="O31" s="6" t="s">
        <v>36</v>
      </c>
    </row>
  </sheetData>
  <phoneticPr fontId="3" type="noConversion"/>
  <dataValidations count="8">
    <dataValidation allowBlank="1" showInputMessage="1" showErrorMessage="1" promptTitle="最大等待多长时间开始匹配机器人" prompt="单位秒" sqref="D4:E4" xr:uid="{00000000-0002-0000-0100-000000000000}"/>
    <dataValidation allowBlank="1" showInputMessage="1" showErrorMessage="1" promptTitle="获得此段位需要的最高积分排名" prompt="0表示无此限制" sqref="G4" xr:uid="{00000000-0002-0000-0100-000001000000}"/>
    <dataValidation allowBlank="1" showInputMessage="1" showErrorMessage="1" promptTitle="获得此段位需要的最低积分排名" prompt="0表示无此限制" sqref="F4" xr:uid="{00000000-0002-0000-0100-000002000000}"/>
    <dataValidation allowBlank="1" showInputMessage="1" showErrorMessage="1" promptTitle="获得此段位需要的最低积分" prompt="0表示无此限制" sqref="H4" xr:uid="{00000000-0002-0000-0100-000003000000}"/>
    <dataValidation allowBlank="1" showInputMessage="1" showErrorMessage="1" promptTitle="每个赛季结束发放的奖励" prompt="通过赛季界面领取" sqref="L4" xr:uid="{00000000-0002-0000-0100-000004000000}"/>
    <dataValidation allowBlank="1" showInputMessage="1" showErrorMessage="1" promptTitle="此段位对应的积分参数，比赛结算时使用" prompt="max(对手参数-我的参数 + 20，5)" sqref="I4" xr:uid="{00000000-0002-0000-0100-000005000000}"/>
    <dataValidation allowBlank="1" showInputMessage="1" showErrorMessage="1" promptTitle="【宝箱ID，概率】" prompt="每次随机一个宝箱" sqref="N4" xr:uid="{00000000-0002-0000-0100-000006000000}"/>
    <dataValidation allowBlank="1" showInputMessage="1" showErrorMessage="1" promptTitle="版本&quot;,&quot;分割————————————" prompt="如果是所有版本，则填ALL" sqref="B1" xr:uid="{8FD5CB0A-F4D4-4E74-A94F-FF1A8812F543}"/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2018-04-25T10:12:28Z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