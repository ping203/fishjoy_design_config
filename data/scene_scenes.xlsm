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data\"/>
    </mc:Choice>
  </mc:AlternateContent>
  <xr:revisionPtr revIDLastSave="0" documentId="13_ncr:1_{FE67D404-B964-414B-BA79-0FD41263E52D}" xr6:coauthVersionLast="32" xr6:coauthVersionMax="32" xr10:uidLastSave="{00000000-0000-0000-0000-000000000000}"/>
  <bookViews>
    <workbookView xWindow="0" yWindow="0" windowWidth="28695" windowHeight="14580" activeTab="1" xr2:uid="{00000000-000D-0000-FFFF-FFFF00000000}"/>
  </bookViews>
  <sheets>
    <sheet name="description" sheetId="1" r:id="rId1"/>
    <sheet name="ALL" sheetId="2" r:id="rId2"/>
  </sheets>
  <functionGroups builtInGroupCount="19"/>
  <externalReferences>
    <externalReference r:id="rId3"/>
  </externalReferences>
  <calcPr calcId="179017"/>
</workbook>
</file>

<file path=xl/calcChain.xml><?xml version="1.0" encoding="utf-8"?>
<calcChain xmlns="http://schemas.openxmlformats.org/spreadsheetml/2006/main">
  <c r="E12" i="2" l="1"/>
  <c r="D12" i="2"/>
  <c r="E6" i="2" l="1"/>
  <c r="E7" i="2"/>
  <c r="E8" i="2"/>
  <c r="E9" i="2"/>
  <c r="E10" i="2"/>
  <c r="E11" i="2"/>
  <c r="E5" i="2"/>
  <c r="D6" i="2"/>
  <c r="D7" i="2"/>
  <c r="D8" i="2"/>
  <c r="D9" i="2"/>
  <c r="D10" i="2"/>
  <c r="D11" i="2"/>
  <c r="D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潘北辰</author>
  </authors>
  <commentList>
    <comment ref="L4" authorId="0" shapeId="0" xr:uid="{00000000-0006-0000-0100-000001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背景图使用的文件名称，无需加json后缀</t>
        </r>
      </text>
    </comment>
    <comment ref="N4" authorId="0" shapeId="0" xr:uid="{00000000-0006-0000-0100-000002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鱼潮存在时间</t>
        </r>
      </text>
    </comment>
    <comment ref="R4" authorId="0" shapeId="0" xr:uid="{00000000-0006-0000-0100-000003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场景中可能出现的鱼，注意不包含鱼潮</t>
        </r>
      </text>
    </comment>
    <comment ref="S4" authorId="0" shapeId="0" xr:uid="{00000000-0006-0000-0100-000004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选择模式后，不同等级的场景的按钮icon</t>
        </r>
      </text>
    </comment>
    <comment ref="T4" authorId="0" shapeId="0" xr:uid="{00000000-0006-0000-0100-000005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允许进入此场景的最低等级</t>
        </r>
      </text>
    </comment>
    <comment ref="U4" authorId="0" shapeId="0" xr:uid="{00000000-0006-0000-0100-000006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允许进入此场景的最高等级</t>
        </r>
      </text>
    </comment>
    <comment ref="W4" authorId="0" shapeId="0" xr:uid="{00000000-0006-0000-0100-000007000000}">
      <text>
        <r>
          <rPr>
            <b/>
            <sz val="9"/>
            <rFont val="宋体"/>
            <family val="3"/>
            <charset val="134"/>
          </rPr>
          <t>付费进入花费：
第1次花费，第2次花费……
超过配置次数，则取配置的最高次数花费</t>
        </r>
      </text>
    </comment>
    <comment ref="X4" authorId="0" shapeId="0" xr:uid="{00000000-0006-0000-0100-000008000000}">
      <text>
        <r>
          <rPr>
            <b/>
            <sz val="9"/>
            <rFont val="宋体"/>
            <family val="3"/>
            <charset val="134"/>
          </rPr>
          <t>只有限时模式有用</t>
        </r>
      </text>
    </comment>
  </commentList>
</comments>
</file>

<file path=xl/sharedStrings.xml><?xml version="1.0" encoding="utf-8"?>
<sst xmlns="http://schemas.openxmlformats.org/spreadsheetml/2006/main" count="159" uniqueCount="120">
  <si>
    <t>字段名</t>
  </si>
  <si>
    <t>英文、小写、下划线分隔单词。如'weanpon_name'</t>
  </si>
  <si>
    <t>类型</t>
  </si>
  <si>
    <t>枚举参数：number（小数）、int(整数)、string（字符串）、table（lua专用表格）、key,注意：只有第一列类型可以取key。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</si>
  <si>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</si>
  <si>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</si>
  <si>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</si>
  <si>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</si>
  <si>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9、table字段，为lua专门提供，填参样例：{10,10,10}或{"a", "b", "c"}
10、其他规范约束逐渐完善中。。。
</t>
  </si>
  <si>
    <t>分表名含义</t>
  </si>
  <si>
    <t>scene_cfg——场景相关参数配置。</t>
  </si>
  <si>
    <t>bulaoji_yc.json</t>
  </si>
  <si>
    <t>car_yc.json</t>
  </si>
  <si>
    <t>footmark_yc.json</t>
  </si>
  <si>
    <t>elephant_yc.json</t>
  </si>
  <si>
    <t>hudie_yc.json</t>
  </si>
  <si>
    <t>fish_yc.json</t>
  </si>
  <si>
    <t>key</t>
  </si>
  <si>
    <t>name</t>
  </si>
  <si>
    <t>description</t>
  </si>
  <si>
    <t>unexport</t>
  </si>
  <si>
    <t>min_level</t>
  </si>
  <si>
    <t>max_level</t>
  </si>
  <si>
    <t>needgold</t>
  </si>
  <si>
    <t>mode</t>
  </si>
  <si>
    <t>bg</t>
  </si>
  <si>
    <t>tide_warning</t>
  </si>
  <si>
    <t>tide_circle</t>
  </si>
  <si>
    <t>pirate_time</t>
  </si>
  <si>
    <t>pirate_id</t>
  </si>
  <si>
    <t>total</t>
  </si>
  <si>
    <t>fish_sort</t>
  </si>
  <si>
    <t>buttonimage</t>
  </si>
  <si>
    <t>restraintlv_min</t>
  </si>
  <si>
    <t>restraintlv_max</t>
  </si>
  <si>
    <t>restraint_prompt</t>
  </si>
  <si>
    <t>pearl_consume</t>
  </si>
  <si>
    <t>free_count</t>
  </si>
  <si>
    <r>
      <rPr>
        <sz val="11"/>
        <color indexed="8"/>
        <rFont val="宋体"/>
        <family val="3"/>
        <charset val="134"/>
      </rPr>
      <t>b</t>
    </r>
    <r>
      <rPr>
        <sz val="11"/>
        <color theme="1"/>
        <rFont val="宋体"/>
        <family val="3"/>
        <charset val="134"/>
      </rPr>
      <t>gm</t>
    </r>
  </si>
  <si>
    <t>string</t>
  </si>
  <si>
    <t>int</t>
  </si>
  <si>
    <t>table</t>
  </si>
  <si>
    <r>
      <rPr>
        <sz val="11"/>
        <color indexed="8"/>
        <rFont val="宋体"/>
        <family val="3"/>
        <charset val="134"/>
      </rPr>
      <t>s</t>
    </r>
    <r>
      <rPr>
        <sz val="11"/>
        <color theme="1"/>
        <rFont val="宋体"/>
        <family val="3"/>
        <charset val="134"/>
      </rPr>
      <t>tring</t>
    </r>
  </si>
  <si>
    <t>编号</t>
  </si>
  <si>
    <t>名称</t>
  </si>
  <si>
    <t>规则说明</t>
  </si>
  <si>
    <t>列1</t>
  </si>
  <si>
    <t>列2</t>
  </si>
  <si>
    <t>最低倍率</t>
  </si>
  <si>
    <t>最高倍率</t>
  </si>
  <si>
    <t>最低金币</t>
  </si>
  <si>
    <t>模式</t>
  </si>
  <si>
    <t>背景文件</t>
  </si>
  <si>
    <t>鱼潮预警秒</t>
  </si>
  <si>
    <t>鱼潮时长秒</t>
  </si>
  <si>
    <t>海盗悬赏间隔</t>
  </si>
  <si>
    <t>海盗悬赏任务</t>
  </si>
  <si>
    <t>鱼数上限</t>
  </si>
  <si>
    <t>场景包含的鱼类</t>
  </si>
  <si>
    <t>按钮匹配的图片</t>
  </si>
  <si>
    <t>等级下限</t>
  </si>
  <si>
    <t>等级上限</t>
  </si>
  <si>
    <t>无法进入时的提示</t>
  </si>
  <si>
    <t>消耗珍珠数量</t>
  </si>
  <si>
    <t>每日免费次数</t>
  </si>
  <si>
    <t>背景音乐</t>
  </si>
  <si>
    <t>scene_mutiple_1</t>
  </si>
  <si>
    <t>scenes_name_scene_mutiple_1</t>
  </si>
  <si>
    <t>scenes_desc_scene_mutiple_1</t>
  </si>
  <si>
    <t>bg01</t>
  </si>
  <si>
    <t>[1,2,3,4,5,6]</t>
  </si>
  <si>
    <t>xinshougangwan</t>
  </si>
  <si>
    <t>对不起，你已经不是新手了,10级以上无法进入新手场</t>
  </si>
  <si>
    <t>[]</t>
  </si>
  <si>
    <t>bgm_manypeople1</t>
  </si>
  <si>
    <t>scene_mutiple_2</t>
  </si>
  <si>
    <t>scenes_name_scene_mutiple_2</t>
  </si>
  <si>
    <t>scenes_desc_scene_mutiple_2</t>
  </si>
  <si>
    <t>bg02</t>
  </si>
  <si>
    <t>[11,12,13,14,15,16]</t>
  </si>
  <si>
    <t>renyuzhidi</t>
  </si>
  <si>
    <r>
      <rPr>
        <sz val="10"/>
        <color theme="1"/>
        <rFont val="宋体"/>
        <family val="3"/>
        <charset val="134"/>
      </rPr>
      <t>你的等级不够，</t>
    </r>
    <r>
      <rPr>
        <sz val="10"/>
        <color rgb="FFFF0000"/>
        <rFont val="宋体"/>
        <family val="3"/>
        <charset val="134"/>
      </rPr>
      <t>2</t>
    </r>
    <r>
      <rPr>
        <sz val="10"/>
        <color theme="1"/>
        <rFont val="宋体"/>
        <family val="3"/>
        <charset val="134"/>
      </rPr>
      <t>级才能进入此场景</t>
    </r>
  </si>
  <si>
    <t>bgm_manypeople2</t>
  </si>
  <si>
    <t>scene_mutiple_3</t>
  </si>
  <si>
    <t>scenes_name_scene_mutiple_3</t>
  </si>
  <si>
    <t>scenes_desc_scene_mutiple_3</t>
  </si>
  <si>
    <t>bg03</t>
  </si>
  <si>
    <t>[21,22,23,24,25,26]</t>
  </si>
  <si>
    <t>shenmihaiyu</t>
  </si>
  <si>
    <r>
      <rPr>
        <sz val="10"/>
        <color theme="1"/>
        <rFont val="宋体"/>
        <family val="3"/>
        <charset val="134"/>
      </rPr>
      <t>你的等级不够，</t>
    </r>
    <r>
      <rPr>
        <sz val="10"/>
        <color rgb="FFFF0000"/>
        <rFont val="宋体"/>
        <family val="3"/>
        <charset val="134"/>
      </rPr>
      <t>3</t>
    </r>
    <r>
      <rPr>
        <sz val="10"/>
        <color theme="1"/>
        <rFont val="宋体"/>
        <family val="3"/>
        <charset val="134"/>
      </rPr>
      <t>级才能进入此场景</t>
    </r>
  </si>
  <si>
    <t>bgm_manypeople3</t>
  </si>
  <si>
    <t>bg12</t>
  </si>
  <si>
    <t>scene_debug_3</t>
  </si>
  <si>
    <t>[100,101]</t>
  </si>
  <si>
    <t>bgm_login</t>
  </si>
  <si>
    <t>[]</t>
    <phoneticPr fontId="12" type="noConversion"/>
  </si>
  <si>
    <t>bg06</t>
    <phoneticPr fontId="12" type="noConversion"/>
  </si>
  <si>
    <t>bg05</t>
    <phoneticPr fontId="12" type="noConversion"/>
  </si>
  <si>
    <t>scene_aquarium</t>
    <phoneticPr fontId="12" type="noConversion"/>
  </si>
  <si>
    <t>scene_goddess</t>
    <phoneticPr fontId="12" type="noConversion"/>
  </si>
  <si>
    <t>scene_mutiple_4</t>
    <phoneticPr fontId="12" type="noConversion"/>
  </si>
  <si>
    <t>scenes_name_scene_mutiple_4</t>
    <phoneticPr fontId="12" type="noConversion"/>
  </si>
  <si>
    <t>scenes_desc_scene_mutiple_4</t>
    <phoneticPr fontId="12" type="noConversion"/>
  </si>
  <si>
    <t>bg04</t>
    <phoneticPr fontId="12" type="noConversion"/>
  </si>
  <si>
    <t>cangbaohaiwan</t>
    <phoneticPr fontId="12" type="noConversion"/>
  </si>
  <si>
    <t>[31,32,33,34,35,36]</t>
    <phoneticPr fontId="12" type="noConversion"/>
  </si>
  <si>
    <t>min_voucher</t>
    <phoneticPr fontId="12" type="noConversion"/>
  </si>
  <si>
    <t>max_voucher</t>
    <phoneticPr fontId="12" type="noConversion"/>
  </si>
  <si>
    <t>最低话费券</t>
    <phoneticPr fontId="12" type="noConversion"/>
  </si>
  <si>
    <t>最高话费券</t>
    <phoneticPr fontId="12" type="noConversion"/>
  </si>
  <si>
    <t>["denglongyu_boss","haima_boss","huafeiyu1","baoxiangyu","baozhay","dianman","dabaisha_jj","sanshengyu_jj","moguiyu_lan","shuangshengyu_jj","dabaisha","shuimu_jj","haitun","cheqiyu_jj","shuimu","baofangfu_lan","haigui","jianyu","jiaodie_huang","baoshiyu_lan","duanhuibiyu_huang","xiaochouyu_huang","shuijingyu","jinqiangyu"]</t>
    <phoneticPr fontId="12" type="noConversion"/>
  </si>
  <si>
    <t>["meirenyu_boss","haima_boss","huafeiyu2","baoxiangyu","baozhay","dianman","haigui_jj","dabaisha_jj","sanshengyu_jj","chuitousha","moguiyu_lan","shuangshengyu_jj","haitun_jj","dabaisha","shuimu_jj","haitun","shuimu","baofangfu_lan","dinianyu_zi","diaoyu","hetun_huang","jiaodie_lan","baoshiyu_zi","duanhuibiyu_lan","xiaochouyu_huang","feicuiyu","caomeiyu"]</t>
    <phoneticPr fontId="12" type="noConversion"/>
  </si>
  <si>
    <t>["zhangyu_boss","haima_boss","huafeiyu3","baoxiangyu","baozhay","dianman","moguiyu_jj","haigui_jj","suolianyu_jj","hujing","dabaisha_jj","chuitousha","moguiyu_hong","sanshengyu_jj","shuangshengyu_jj","haitun_jj","dabaisha","shuimu_jj","haitun","pipashuyu","shuimu_lan","baofangfu_zi","haigui","diaoyu","hetun_lan","jiaodie_huang","baoshiyu_zi","duanhuibiyu_huang","xiaochouyu_lan","cheqiyu","caomeiyu"]</t>
    <phoneticPr fontId="12" type="noConversion"/>
  </si>
  <si>
    <t>["longgui_boss","haima_boss","huafeiyu4","baoxiangyu","baozhay","dianman","hujing_jj","dapanyu_jj","moguiyu_jj","suolianyu_jj","hujing","dabaisha_jj","chuitousha","sanshengyu_jj","moguiyu_hong","moguiyu_lan","haitun_jj","shuimu_jj","haitun","pipashuyu","cheqiyu_jj","shuimu_lan","baofangfu_zi","dinianyu_lan","haigui","jianyu","hetun_huang","jiaodie_lan","baoshiyu_lan","duanhuibiyu_lan","cheqiyu","shuijingyu","jinqiangyu"]</t>
    <phoneticPr fontId="12" type="noConversion"/>
  </si>
  <si>
    <t>page_3</t>
    <phoneticPr fontId="12" type="noConversion"/>
  </si>
  <si>
    <t>ALL</t>
    <phoneticPr fontId="12" type="noConversion"/>
  </si>
  <si>
    <t>key</t>
    <phoneticPr fontId="12" type="noConversion"/>
  </si>
  <si>
    <t>string</t>
    <phoneticPr fontId="11" type="noConversion"/>
  </si>
  <si>
    <t>scene_1V1</t>
    <phoneticPr fontId="12" type="noConversion"/>
  </si>
  <si>
    <t>bgm_rank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</si>
</sst>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0"/>
      <color indexed="8"/>
      <name val="宋体"/>
      <family val="3"/>
      <charset val="134"/>
    </font>
    <font>
      <sz val="12"/>
      <color theme="1"/>
      <name val="微软雅黑"/>
      <family val="2"/>
      <charset val="134"/>
    </font>
    <font>
      <sz val="10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0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>
      <alignment vertical="center"/>
    </xf>
    <xf numFmtId="0" fontId="3" fillId="0" borderId="0">
      <alignment vertical="center"/>
    </xf>
    <xf numFmtId="0" fontId="2" fillId="0" borderId="0"/>
    <xf numFmtId="0" fontId="2" fillId="0" borderId="0"/>
    <xf numFmtId="0" fontId="7" fillId="0" borderId="0">
      <alignment vertical="center"/>
    </xf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30">
    <xf numFmtId="0" fontId="0" fillId="0" borderId="0" xfId="0"/>
    <xf numFmtId="49" fontId="1" fillId="2" borderId="1" xfId="14" applyNumberFormat="1" applyFont="1" applyFill="1" applyBorder="1" applyAlignment="1">
      <alignment horizontal="center"/>
    </xf>
    <xf numFmtId="0" fontId="3" fillId="0" borderId="0" xfId="14" applyAlignment="1"/>
    <xf numFmtId="0" fontId="4" fillId="0" borderId="0" xfId="0" applyFont="1"/>
    <xf numFmtId="0" fontId="4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 wrapText="1"/>
    </xf>
    <xf numFmtId="0" fontId="4" fillId="0" borderId="0" xfId="0" applyFont="1" applyAlignment="1">
      <alignment wrapText="1"/>
    </xf>
    <xf numFmtId="0" fontId="6" fillId="0" borderId="0" xfId="0" applyFont="1" applyAlignment="1">
      <alignment vertical="center"/>
    </xf>
    <xf numFmtId="0" fontId="0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0" fontId="2" fillId="0" borderId="0" xfId="29" applyAlignment="1">
      <alignment horizontal="center" vertical="center"/>
    </xf>
    <xf numFmtId="0" fontId="2" fillId="0" borderId="0" xfId="25" applyFont="1" applyAlignment="1">
      <alignment horizontal="center" vertical="center"/>
    </xf>
    <xf numFmtId="49" fontId="1" fillId="3" borderId="2" xfId="14" applyNumberFormat="1" applyFont="1" applyFill="1" applyBorder="1" applyAlignment="1">
      <alignment horizontal="center" vertical="center"/>
    </xf>
    <xf numFmtId="0" fontId="1" fillId="4" borderId="1" xfId="14" applyFont="1" applyFill="1" applyBorder="1" applyAlignment="1" applyProtection="1">
      <alignment horizontal="center"/>
    </xf>
    <xf numFmtId="0" fontId="1" fillId="5" borderId="3" xfId="14" applyNumberFormat="1" applyFont="1" applyFill="1" applyBorder="1" applyAlignment="1">
      <alignment horizontal="center" vertical="center"/>
    </xf>
    <xf numFmtId="0" fontId="0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center"/>
    </xf>
    <xf numFmtId="0" fontId="4" fillId="6" borderId="0" xfId="0" applyFont="1" applyFill="1" applyAlignment="1">
      <alignment vertical="center" wrapText="1"/>
    </xf>
    <xf numFmtId="0" fontId="4" fillId="6" borderId="0" xfId="0" applyFont="1" applyFill="1" applyAlignment="1">
      <alignment vertical="center"/>
    </xf>
    <xf numFmtId="0" fontId="4" fillId="6" borderId="0" xfId="0" applyFont="1" applyFill="1" applyAlignment="1">
      <alignment horizontal="center" vertical="center"/>
    </xf>
    <xf numFmtId="49" fontId="13" fillId="7" borderId="1" xfId="14" applyNumberFormat="1" applyFont="1" applyFill="1" applyBorder="1" applyAlignment="1">
      <alignment horizontal="right"/>
    </xf>
    <xf numFmtId="49" fontId="13" fillId="7" borderId="1" xfId="14" applyNumberFormat="1" applyFont="1" applyFill="1" applyBorder="1" applyAlignment="1">
      <alignment horizontal="center"/>
    </xf>
    <xf numFmtId="0" fontId="4" fillId="7" borderId="1" xfId="0" applyFont="1" applyFill="1" applyBorder="1" applyAlignment="1">
      <alignment vertical="center"/>
    </xf>
    <xf numFmtId="49" fontId="13" fillId="8" borderId="1" xfId="0" applyNumberFormat="1" applyFont="1" applyFill="1" applyBorder="1" applyAlignment="1">
      <alignment horizontal="right" vertical="center"/>
    </xf>
    <xf numFmtId="49" fontId="13" fillId="8" borderId="1" xfId="0" applyNumberFormat="1" applyFont="1" applyFill="1" applyBorder="1" applyAlignment="1">
      <alignment horizontal="center" vertical="center"/>
    </xf>
    <xf numFmtId="0" fontId="4" fillId="8" borderId="1" xfId="0" applyFont="1" applyFill="1" applyBorder="1" applyAlignment="1">
      <alignment vertical="center"/>
    </xf>
    <xf numFmtId="0" fontId="3" fillId="0" borderId="0" xfId="14" applyNumberFormat="1" applyAlignment="1"/>
    <xf numFmtId="0" fontId="3" fillId="0" borderId="0" xfId="14" applyNumberFormat="1" applyAlignment="1">
      <alignment vertical="top" wrapText="1"/>
    </xf>
    <xf numFmtId="0" fontId="3" fillId="0" borderId="0" xfId="14" applyNumberFormat="1" applyAlignment="1">
      <alignment vertical="top"/>
    </xf>
  </cellXfs>
  <cellStyles count="30">
    <cellStyle name="常规" xfId="0" builtinId="0"/>
    <cellStyle name="常规 10" xfId="12" xr:uid="{00000000-0005-0000-0000-000001000000}"/>
    <cellStyle name="常规 2" xfId="14" xr:uid="{00000000-0005-0000-0000-000002000000}"/>
    <cellStyle name="常规 2 2" xfId="10" xr:uid="{00000000-0005-0000-0000-000003000000}"/>
    <cellStyle name="常规 2 2 2" xfId="7" xr:uid="{00000000-0005-0000-0000-000004000000}"/>
    <cellStyle name="常规 2 2 2 2" xfId="2" xr:uid="{00000000-0005-0000-0000-000005000000}"/>
    <cellStyle name="常规 2 2 3" xfId="8" xr:uid="{00000000-0005-0000-0000-000006000000}"/>
    <cellStyle name="常规 2 2 4" xfId="1" xr:uid="{00000000-0005-0000-0000-000007000000}"/>
    <cellStyle name="常规 2 3" xfId="11" xr:uid="{00000000-0005-0000-0000-000008000000}"/>
    <cellStyle name="常规 2 3 2" xfId="13" xr:uid="{00000000-0005-0000-0000-000009000000}"/>
    <cellStyle name="常规 2 4" xfId="15" xr:uid="{00000000-0005-0000-0000-00000A000000}"/>
    <cellStyle name="常规 2 4 2" xfId="17" xr:uid="{00000000-0005-0000-0000-00000B000000}"/>
    <cellStyle name="常规 2 5" xfId="6" xr:uid="{00000000-0005-0000-0000-00000C000000}"/>
    <cellStyle name="常规 2 6" xfId="16" xr:uid="{00000000-0005-0000-0000-00000D000000}"/>
    <cellStyle name="常规 3" xfId="18" xr:uid="{00000000-0005-0000-0000-00000E000000}"/>
    <cellStyle name="常规 3 2" xfId="9" xr:uid="{00000000-0005-0000-0000-00000F000000}"/>
    <cellStyle name="常规 3 2 2" xfId="5" xr:uid="{00000000-0005-0000-0000-000010000000}"/>
    <cellStyle name="常规 3 3" xfId="19" xr:uid="{00000000-0005-0000-0000-000011000000}"/>
    <cellStyle name="常规 3 3 2" xfId="20" xr:uid="{00000000-0005-0000-0000-000012000000}"/>
    <cellStyle name="常规 3 4" xfId="21" xr:uid="{00000000-0005-0000-0000-000013000000}"/>
    <cellStyle name="常规 4" xfId="22" xr:uid="{00000000-0005-0000-0000-000014000000}"/>
    <cellStyle name="常规 4 2" xfId="23" xr:uid="{00000000-0005-0000-0000-000015000000}"/>
    <cellStyle name="常规 5" xfId="24" xr:uid="{00000000-0005-0000-0000-000016000000}"/>
    <cellStyle name="常规 5 2" xfId="4" xr:uid="{00000000-0005-0000-0000-000017000000}"/>
    <cellStyle name="常规 6" xfId="3" xr:uid="{00000000-0005-0000-0000-000018000000}"/>
    <cellStyle name="常规 6 2" xfId="25" xr:uid="{00000000-0005-0000-0000-000019000000}"/>
    <cellStyle name="常规 7" xfId="26" xr:uid="{00000000-0005-0000-0000-00001A000000}"/>
    <cellStyle name="常规 7 2" xfId="27" xr:uid="{00000000-0005-0000-0000-00001B000000}"/>
    <cellStyle name="常规 8" xfId="28" xr:uid="{00000000-0005-0000-0000-00001C000000}"/>
    <cellStyle name="常规 9" xfId="29" xr:uid="{00000000-0005-0000-0000-00001D000000}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0</xdr:col>
      <xdr:colOff>333375</xdr:colOff>
      <xdr:row>3</xdr:row>
      <xdr:rowOff>19049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933E812C-0297-4F5C-A449-861A9207FD8F}"/>
            </a:ext>
          </a:extLst>
        </xdr:cNvPr>
        <xdr:cNvSpPr/>
      </xdr:nvSpPr>
      <xdr:spPr>
        <a:xfrm>
          <a:off x="9525" y="19050"/>
          <a:ext cx="323850" cy="457199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ring_string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翻译文本"/>
      <sheetName val="wanba,17525"/>
      <sheetName val="google"/>
      <sheetName val="vietnam_vn"/>
      <sheetName val="vietnam"/>
      <sheetName val="string_strings"/>
    </sheet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表2" displayName="表2" ref="A4:Y12" totalsRowShown="0">
  <autoFilter ref="A4:Y12" xr:uid="{00000000-0009-0000-0100-000002000000}"/>
  <tableColumns count="25">
    <tableColumn id="1" xr3:uid="{00000000-0010-0000-0000-000001000000}" name="编号"/>
    <tableColumn id="2" xr3:uid="{00000000-0010-0000-0000-000002000000}" name="名称"/>
    <tableColumn id="3" xr3:uid="{00000000-0010-0000-0000-000003000000}" name="规则说明"/>
    <tableColumn id="4" xr3:uid="{00000000-0010-0000-0000-000004000000}" name="列1">
      <calculatedColumnFormula>VLOOKUP(表2[[#This Row],[名称]],[1]!表1_8[#Data],2,FALSE)</calculatedColumnFormula>
    </tableColumn>
    <tableColumn id="5" xr3:uid="{00000000-0010-0000-0000-000005000000}" name="列2">
      <calculatedColumnFormula>VLOOKUP(表2[[#This Row],[规则说明]],[1]!表1_8[#Data],2,FALSE)</calculatedColumnFormula>
    </tableColumn>
    <tableColumn id="6" xr3:uid="{00000000-0010-0000-0000-000006000000}" name="最低倍率"/>
    <tableColumn id="7" xr3:uid="{00000000-0010-0000-0000-000007000000}" name="最高倍率"/>
    <tableColumn id="18" xr3:uid="{00000000-0010-0000-0000-000012000000}" name="最低话费券" dataDxfId="1"/>
    <tableColumn id="19" xr3:uid="{00000000-0010-0000-0000-000013000000}" name="最高话费券" dataDxfId="0"/>
    <tableColumn id="8" xr3:uid="{00000000-0010-0000-0000-000008000000}" name="最低金币"/>
    <tableColumn id="9" xr3:uid="{00000000-0010-0000-0000-000009000000}" name="模式"/>
    <tableColumn id="10" xr3:uid="{00000000-0010-0000-0000-00000A000000}" name="背景文件"/>
    <tableColumn id="11" xr3:uid="{00000000-0010-0000-0000-00000B000000}" name="鱼潮预警秒"/>
    <tableColumn id="12" xr3:uid="{00000000-0010-0000-0000-00000C000000}" name="鱼潮时长秒"/>
    <tableColumn id="13" xr3:uid="{00000000-0010-0000-0000-00000D000000}" name="海盗悬赏间隔"/>
    <tableColumn id="14" xr3:uid="{00000000-0010-0000-0000-00000E000000}" name="海盗悬赏任务"/>
    <tableColumn id="15" xr3:uid="{00000000-0010-0000-0000-00000F000000}" name="鱼数上限"/>
    <tableColumn id="16" xr3:uid="{00000000-0010-0000-0000-000010000000}" name="场景包含的鱼类"/>
    <tableColumn id="17" xr3:uid="{00000000-0010-0000-0000-000011000000}" name="按钮匹配的图片"/>
    <tableColumn id="21" xr3:uid="{00000000-0010-0000-0000-000015000000}" name="等级下限"/>
    <tableColumn id="22" xr3:uid="{00000000-0010-0000-0000-000016000000}" name="等级上限"/>
    <tableColumn id="23" xr3:uid="{00000000-0010-0000-0000-000017000000}" name="无法进入时的提示"/>
    <tableColumn id="24" xr3:uid="{00000000-0010-0000-0000-000018000000}" name="消耗珍珠数量"/>
    <tableColumn id="25" xr3:uid="{00000000-0010-0000-0000-000019000000}" name="每日免费次数"/>
    <tableColumn id="26" xr3:uid="{00000000-0010-0000-0000-00001A000000}" name="背景音乐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2"/>
  <sheetViews>
    <sheetView workbookViewId="0">
      <selection activeCell="B47" sqref="B47:B52"/>
    </sheetView>
  </sheetViews>
  <sheetFormatPr defaultColWidth="9" defaultRowHeight="13.5" x14ac:dyDescent="0.15"/>
  <cols>
    <col min="1" max="1" width="39.5" style="2" customWidth="1"/>
    <col min="2" max="2" width="115.25" style="2" customWidth="1"/>
    <col min="3" max="16384" width="9" style="2"/>
  </cols>
  <sheetData>
    <row r="1" spans="1:2" ht="16.5" x14ac:dyDescent="0.3">
      <c r="A1" s="1" t="s">
        <v>0</v>
      </c>
      <c r="B1" s="2" t="s">
        <v>1</v>
      </c>
    </row>
    <row r="2" spans="1:2" ht="16.5" x14ac:dyDescent="0.15">
      <c r="A2" s="13" t="s">
        <v>2</v>
      </c>
      <c r="B2" s="2" t="s">
        <v>3</v>
      </c>
    </row>
    <row r="3" spans="1:2" ht="16.5" x14ac:dyDescent="0.3">
      <c r="A3" s="14" t="s">
        <v>4</v>
      </c>
      <c r="B3" s="2" t="s">
        <v>5</v>
      </c>
    </row>
    <row r="4" spans="1:2" ht="16.5" x14ac:dyDescent="0.15">
      <c r="A4" s="15" t="s">
        <v>6</v>
      </c>
      <c r="B4" s="2" t="s">
        <v>7</v>
      </c>
    </row>
    <row r="6" spans="1:2" x14ac:dyDescent="0.15">
      <c r="A6" s="28" t="s">
        <v>8</v>
      </c>
      <c r="B6" s="29"/>
    </row>
    <row r="7" spans="1:2" x14ac:dyDescent="0.15">
      <c r="A7" s="29"/>
      <c r="B7" s="29"/>
    </row>
    <row r="8" spans="1:2" x14ac:dyDescent="0.15">
      <c r="A8" s="29"/>
      <c r="B8" s="29"/>
    </row>
    <row r="9" spans="1:2" x14ac:dyDescent="0.15">
      <c r="A9" s="29"/>
      <c r="B9" s="29"/>
    </row>
    <row r="10" spans="1:2" x14ac:dyDescent="0.15">
      <c r="A10" s="29"/>
      <c r="B10" s="29"/>
    </row>
    <row r="11" spans="1:2" x14ac:dyDescent="0.15">
      <c r="A11" s="29"/>
      <c r="B11" s="29"/>
    </row>
    <row r="12" spans="1:2" x14ac:dyDescent="0.15">
      <c r="A12" s="29"/>
      <c r="B12" s="29"/>
    </row>
    <row r="13" spans="1:2" x14ac:dyDescent="0.15">
      <c r="A13" s="29"/>
      <c r="B13" s="29"/>
    </row>
    <row r="14" spans="1:2" x14ac:dyDescent="0.15">
      <c r="A14" s="29"/>
      <c r="B14" s="29"/>
    </row>
    <row r="15" spans="1:2" x14ac:dyDescent="0.15">
      <c r="A15" s="29"/>
      <c r="B15" s="29"/>
    </row>
    <row r="16" spans="1:2" ht="13.15" customHeight="1" x14ac:dyDescent="0.15">
      <c r="A16" s="29"/>
      <c r="B16" s="29"/>
    </row>
    <row r="17" spans="1:2" ht="4.1500000000000004" customHeight="1" x14ac:dyDescent="0.15">
      <c r="A17" s="29"/>
      <c r="B17" s="29"/>
    </row>
    <row r="18" spans="1:2" hidden="1" x14ac:dyDescent="0.15">
      <c r="A18" s="29"/>
      <c r="B18" s="29"/>
    </row>
    <row r="19" spans="1:2" hidden="1" x14ac:dyDescent="0.15">
      <c r="A19" s="29"/>
      <c r="B19" s="29"/>
    </row>
    <row r="20" spans="1:2" hidden="1" x14ac:dyDescent="0.15">
      <c r="A20" s="29"/>
      <c r="B20" s="29"/>
    </row>
    <row r="21" spans="1:2" ht="22.9" customHeight="1" x14ac:dyDescent="0.15">
      <c r="A21" s="29"/>
      <c r="B21" s="29"/>
    </row>
    <row r="22" spans="1:2" ht="45" customHeight="1" x14ac:dyDescent="0.15">
      <c r="A22" s="29"/>
      <c r="B22" s="29"/>
    </row>
    <row r="23" spans="1:2" ht="51" hidden="1" customHeight="1" x14ac:dyDescent="0.15">
      <c r="A23" s="29"/>
      <c r="B23" s="29"/>
    </row>
    <row r="24" spans="1:2" x14ac:dyDescent="0.15">
      <c r="A24" s="27" t="s">
        <v>9</v>
      </c>
      <c r="B24" s="27"/>
    </row>
    <row r="25" spans="1:2" x14ac:dyDescent="0.15">
      <c r="A25" s="27" t="s">
        <v>10</v>
      </c>
      <c r="B25" s="27"/>
    </row>
    <row r="26" spans="1:2" x14ac:dyDescent="0.15">
      <c r="A26" s="27"/>
      <c r="B26" s="27"/>
    </row>
    <row r="27" spans="1:2" x14ac:dyDescent="0.15">
      <c r="A27" s="27"/>
      <c r="B27" s="27"/>
    </row>
    <row r="28" spans="1:2" x14ac:dyDescent="0.15">
      <c r="A28" s="27"/>
      <c r="B28" s="27"/>
    </row>
    <row r="29" spans="1:2" x14ac:dyDescent="0.15">
      <c r="A29" s="27"/>
      <c r="B29" s="27"/>
    </row>
    <row r="30" spans="1:2" x14ac:dyDescent="0.15">
      <c r="A30" s="27"/>
      <c r="B30" s="27"/>
    </row>
    <row r="31" spans="1:2" x14ac:dyDescent="0.15">
      <c r="A31" s="27"/>
      <c r="B31" s="27"/>
    </row>
    <row r="32" spans="1:2" x14ac:dyDescent="0.15">
      <c r="A32" s="27"/>
      <c r="B32" s="27"/>
    </row>
    <row r="33" spans="1:2" x14ac:dyDescent="0.15">
      <c r="A33" s="27"/>
      <c r="B33" s="27"/>
    </row>
    <row r="34" spans="1:2" x14ac:dyDescent="0.15">
      <c r="A34" s="27"/>
      <c r="B34" s="27"/>
    </row>
    <row r="35" spans="1:2" x14ac:dyDescent="0.15">
      <c r="A35" s="27"/>
      <c r="B35" s="27"/>
    </row>
    <row r="36" spans="1:2" x14ac:dyDescent="0.15">
      <c r="A36" s="27"/>
      <c r="B36" s="27"/>
    </row>
    <row r="37" spans="1:2" x14ac:dyDescent="0.15">
      <c r="A37" s="27"/>
      <c r="B37" s="27"/>
    </row>
    <row r="38" spans="1:2" x14ac:dyDescent="0.15">
      <c r="A38" s="27"/>
      <c r="B38" s="27"/>
    </row>
    <row r="39" spans="1:2" x14ac:dyDescent="0.15">
      <c r="A39" s="27"/>
      <c r="B39" s="27"/>
    </row>
    <row r="40" spans="1:2" x14ac:dyDescent="0.15">
      <c r="A40" s="27"/>
      <c r="B40" s="27"/>
    </row>
    <row r="41" spans="1:2" x14ac:dyDescent="0.15">
      <c r="A41" s="27"/>
      <c r="B41" s="27"/>
    </row>
    <row r="42" spans="1:2" x14ac:dyDescent="0.15">
      <c r="A42" s="27"/>
      <c r="B42" s="27"/>
    </row>
    <row r="43" spans="1:2" x14ac:dyDescent="0.15">
      <c r="A43" s="27"/>
      <c r="B43" s="27"/>
    </row>
    <row r="44" spans="1:2" x14ac:dyDescent="0.15">
      <c r="A44" s="27"/>
      <c r="B44" s="27"/>
    </row>
    <row r="45" spans="1:2" x14ac:dyDescent="0.15">
      <c r="A45" s="27"/>
      <c r="B45" s="27"/>
    </row>
    <row r="47" spans="1:2" x14ac:dyDescent="0.15">
      <c r="A47" s="2">
        <v>82</v>
      </c>
      <c r="B47" s="2" t="s">
        <v>11</v>
      </c>
    </row>
    <row r="48" spans="1:2" x14ac:dyDescent="0.15">
      <c r="A48" s="2">
        <v>100</v>
      </c>
      <c r="B48" s="2" t="s">
        <v>12</v>
      </c>
    </row>
    <row r="49" spans="1:2" x14ac:dyDescent="0.15">
      <c r="A49" s="2">
        <v>97</v>
      </c>
      <c r="B49" s="2" t="s">
        <v>13</v>
      </c>
    </row>
    <row r="50" spans="1:2" x14ac:dyDescent="0.15">
      <c r="A50" s="2">
        <v>103</v>
      </c>
      <c r="B50" s="2" t="s">
        <v>14</v>
      </c>
    </row>
    <row r="51" spans="1:2" x14ac:dyDescent="0.15">
      <c r="A51" s="2">
        <v>90</v>
      </c>
      <c r="B51" s="2" t="s">
        <v>15</v>
      </c>
    </row>
    <row r="52" spans="1:2" x14ac:dyDescent="0.15">
      <c r="A52" s="2">
        <v>97</v>
      </c>
      <c r="B52" s="2" t="s">
        <v>16</v>
      </c>
    </row>
  </sheetData>
  <mergeCells count="23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12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66"/>
  <sheetViews>
    <sheetView tabSelected="1" workbookViewId="0">
      <pane xSplit="2" ySplit="4" topLeftCell="C5" activePane="bottomRight" state="frozenSplit"/>
      <selection pane="topRight"/>
      <selection pane="bottomLeft"/>
      <selection pane="bottomRight" activeCell="C6" sqref="B6:C6"/>
    </sheetView>
  </sheetViews>
  <sheetFormatPr defaultColWidth="9" defaultRowHeight="13.5" x14ac:dyDescent="0.15"/>
  <cols>
    <col min="1" max="1" width="15.125" style="5" customWidth="1"/>
    <col min="2" max="2" width="24.375" style="5" customWidth="1"/>
    <col min="3" max="3" width="23.625" style="6" customWidth="1"/>
    <col min="4" max="4" width="11.375" style="6" customWidth="1"/>
    <col min="5" max="5" width="23.625" style="6" customWidth="1"/>
    <col min="6" max="7" width="10.5" style="5" customWidth="1"/>
    <col min="8" max="9" width="12.75" style="5" bestFit="1" customWidth="1"/>
    <col min="10" max="10" width="10" style="5" customWidth="1"/>
    <col min="11" max="11" width="6.75" style="5" customWidth="1"/>
    <col min="12" max="12" width="10" style="5" customWidth="1"/>
    <col min="13" max="13" width="12.25" style="5" customWidth="1"/>
    <col min="14" max="14" width="11.75" style="5" customWidth="1"/>
    <col min="15" max="15" width="14.25" style="5" customWidth="1"/>
    <col min="16" max="16" width="19" style="5" customWidth="1"/>
    <col min="17" max="17" width="10" style="5" customWidth="1"/>
    <col min="18" max="18" width="88.25" style="6" customWidth="1"/>
    <col min="19" max="19" width="15.125" style="5" customWidth="1"/>
    <col min="20" max="20" width="8.5" style="5" customWidth="1"/>
    <col min="21" max="21" width="9.25" style="5" customWidth="1"/>
    <col min="22" max="22" width="39.875" style="5" customWidth="1"/>
    <col min="23" max="23" width="18" style="5" customWidth="1"/>
    <col min="24" max="24" width="13.375" style="5" customWidth="1"/>
    <col min="25" max="25" width="39.625" style="5" customWidth="1"/>
    <col min="26" max="16384" width="9" style="5"/>
  </cols>
  <sheetData>
    <row r="1" spans="1:27" s="19" customFormat="1" ht="12" customHeight="1" x14ac:dyDescent="0.15">
      <c r="A1" s="18"/>
      <c r="B1" s="19" t="s">
        <v>115</v>
      </c>
      <c r="C1" s="18"/>
      <c r="X1" s="20"/>
    </row>
    <row r="2" spans="1:27" s="23" customFormat="1" ht="12" customHeight="1" x14ac:dyDescent="0.15">
      <c r="A2" s="21" t="s">
        <v>17</v>
      </c>
      <c r="B2" s="22" t="s">
        <v>18</v>
      </c>
      <c r="C2" s="22" t="s">
        <v>19</v>
      </c>
      <c r="D2" s="22" t="s">
        <v>20</v>
      </c>
      <c r="E2" s="22" t="s">
        <v>20</v>
      </c>
      <c r="F2" s="22" t="s">
        <v>21</v>
      </c>
      <c r="G2" s="22" t="s">
        <v>22</v>
      </c>
      <c r="H2" s="22" t="s">
        <v>106</v>
      </c>
      <c r="I2" s="22" t="s">
        <v>107</v>
      </c>
      <c r="J2" s="22" t="s">
        <v>23</v>
      </c>
      <c r="K2" s="22" t="s">
        <v>24</v>
      </c>
      <c r="L2" s="22" t="s">
        <v>25</v>
      </c>
      <c r="M2" s="22" t="s">
        <v>26</v>
      </c>
      <c r="N2" s="22" t="s">
        <v>27</v>
      </c>
      <c r="O2" s="22" t="s">
        <v>28</v>
      </c>
      <c r="P2" s="22" t="s">
        <v>29</v>
      </c>
      <c r="Q2" s="22" t="s">
        <v>30</v>
      </c>
      <c r="R2" s="22" t="s">
        <v>31</v>
      </c>
      <c r="S2" s="22" t="s">
        <v>32</v>
      </c>
      <c r="T2" s="22" t="s">
        <v>33</v>
      </c>
      <c r="U2" s="22" t="s">
        <v>34</v>
      </c>
      <c r="V2" s="22" t="s">
        <v>35</v>
      </c>
      <c r="W2" s="22" t="s">
        <v>36</v>
      </c>
      <c r="X2" s="22" t="s">
        <v>37</v>
      </c>
      <c r="Y2" s="22" t="s">
        <v>38</v>
      </c>
      <c r="Z2" s="22"/>
      <c r="AA2" s="22"/>
    </row>
    <row r="3" spans="1:27" s="26" customFormat="1" ht="12" customHeight="1" x14ac:dyDescent="0.15">
      <c r="A3" s="24" t="s">
        <v>116</v>
      </c>
      <c r="B3" s="25" t="s">
        <v>117</v>
      </c>
      <c r="C3" s="25" t="s">
        <v>39</v>
      </c>
      <c r="D3" s="25" t="s">
        <v>20</v>
      </c>
      <c r="E3" s="25" t="s">
        <v>20</v>
      </c>
      <c r="F3" s="25" t="s">
        <v>40</v>
      </c>
      <c r="G3" s="25" t="s">
        <v>40</v>
      </c>
      <c r="H3" s="25" t="s">
        <v>40</v>
      </c>
      <c r="I3" s="25" t="s">
        <v>40</v>
      </c>
      <c r="J3" s="25" t="s">
        <v>40</v>
      </c>
      <c r="K3" s="25" t="s">
        <v>40</v>
      </c>
      <c r="L3" s="25" t="s">
        <v>39</v>
      </c>
      <c r="M3" s="25" t="s">
        <v>40</v>
      </c>
      <c r="N3" s="25" t="s">
        <v>40</v>
      </c>
      <c r="O3" s="25" t="s">
        <v>40</v>
      </c>
      <c r="P3" s="25" t="s">
        <v>41</v>
      </c>
      <c r="Q3" s="25" t="s">
        <v>40</v>
      </c>
      <c r="R3" s="25" t="s">
        <v>41</v>
      </c>
      <c r="S3" s="25" t="s">
        <v>39</v>
      </c>
      <c r="T3" s="25" t="s">
        <v>40</v>
      </c>
      <c r="U3" s="25" t="s">
        <v>40</v>
      </c>
      <c r="V3" s="25" t="s">
        <v>39</v>
      </c>
      <c r="W3" s="25" t="s">
        <v>41</v>
      </c>
      <c r="X3" s="25" t="s">
        <v>40</v>
      </c>
      <c r="Y3" s="25" t="s">
        <v>42</v>
      </c>
      <c r="Z3" s="25"/>
      <c r="AA3" s="25"/>
    </row>
    <row r="4" spans="1:27" s="4" customFormat="1" ht="12" x14ac:dyDescent="0.15">
      <c r="A4" s="17" t="s">
        <v>43</v>
      </c>
      <c r="B4" s="3" t="s">
        <v>44</v>
      </c>
      <c r="C4" s="7" t="s">
        <v>45</v>
      </c>
      <c r="D4" s="7" t="s">
        <v>46</v>
      </c>
      <c r="E4" s="7" t="s">
        <v>47</v>
      </c>
      <c r="F4" s="3" t="s">
        <v>48</v>
      </c>
      <c r="G4" s="3" t="s">
        <v>49</v>
      </c>
      <c r="H4" s="3" t="s">
        <v>108</v>
      </c>
      <c r="I4" s="3" t="s">
        <v>109</v>
      </c>
      <c r="J4" s="3" t="s">
        <v>50</v>
      </c>
      <c r="K4" s="3" t="s">
        <v>51</v>
      </c>
      <c r="L4" s="3" t="s">
        <v>52</v>
      </c>
      <c r="M4" s="3" t="s">
        <v>53</v>
      </c>
      <c r="N4" s="3" t="s">
        <v>54</v>
      </c>
      <c r="O4" s="3" t="s">
        <v>55</v>
      </c>
      <c r="P4" s="3" t="s">
        <v>56</v>
      </c>
      <c r="Q4" s="3" t="s">
        <v>57</v>
      </c>
      <c r="R4" s="7" t="s">
        <v>58</v>
      </c>
      <c r="S4" s="3" t="s">
        <v>59</v>
      </c>
      <c r="T4" s="3" t="s">
        <v>60</v>
      </c>
      <c r="U4" s="3" t="s">
        <v>61</v>
      </c>
      <c r="V4" s="3" t="s">
        <v>62</v>
      </c>
      <c r="W4" s="3" t="s">
        <v>63</v>
      </c>
      <c r="X4" s="3" t="s">
        <v>64</v>
      </c>
      <c r="Y4" s="3" t="s">
        <v>65</v>
      </c>
    </row>
    <row r="5" spans="1:27" customFormat="1" ht="48" x14ac:dyDescent="0.15">
      <c r="A5" s="3" t="s">
        <v>66</v>
      </c>
      <c r="B5" s="8" t="s">
        <v>67</v>
      </c>
      <c r="C5" s="8" t="s">
        <v>68</v>
      </c>
      <c r="D5" s="8" t="e">
        <f>VLOOKUP(表2[[#This Row],[名称]],[1]!表1_8[#Data],2,FALSE)</f>
        <v>#REF!</v>
      </c>
      <c r="E5" s="8" t="e">
        <f>VLOOKUP(表2[[#This Row],[规则说明]],[1]!表1_8[#Data],2,FALSE)</f>
        <v>#REF!</v>
      </c>
      <c r="F5" s="3">
        <v>1</v>
      </c>
      <c r="G5" s="3">
        <v>100</v>
      </c>
      <c r="H5" s="3">
        <v>20</v>
      </c>
      <c r="I5" s="3">
        <v>60</v>
      </c>
      <c r="J5" s="3">
        <v>0</v>
      </c>
      <c r="K5" s="3">
        <v>1</v>
      </c>
      <c r="L5" s="3" t="s">
        <v>69</v>
      </c>
      <c r="M5" s="3">
        <v>5</v>
      </c>
      <c r="N5" s="3">
        <v>1000</v>
      </c>
      <c r="O5" s="3">
        <v>30</v>
      </c>
      <c r="P5" s="3" t="s">
        <v>70</v>
      </c>
      <c r="Q5" s="3">
        <v>30</v>
      </c>
      <c r="R5" s="7" t="s">
        <v>110</v>
      </c>
      <c r="S5" s="3" t="s">
        <v>71</v>
      </c>
      <c r="T5" s="3">
        <v>1</v>
      </c>
      <c r="U5" s="3">
        <v>99</v>
      </c>
      <c r="V5" s="3" t="s">
        <v>72</v>
      </c>
      <c r="W5" s="3" t="s">
        <v>73</v>
      </c>
      <c r="X5" s="3">
        <v>0</v>
      </c>
      <c r="Y5" s="11" t="s">
        <v>74</v>
      </c>
    </row>
    <row r="6" spans="1:27" customFormat="1" ht="48" x14ac:dyDescent="0.15">
      <c r="A6" s="3" t="s">
        <v>75</v>
      </c>
      <c r="B6" s="8" t="s">
        <v>76</v>
      </c>
      <c r="C6" s="8" t="s">
        <v>77</v>
      </c>
      <c r="D6" s="8" t="e">
        <f>VLOOKUP(表2[[#This Row],[名称]],[1]!表1_8[#Data],2,FALSE)</f>
        <v>#REF!</v>
      </c>
      <c r="E6" s="8" t="e">
        <f>VLOOKUP(表2[[#This Row],[规则说明]],[1]!表1_8[#Data],2,FALSE)</f>
        <v>#REF!</v>
      </c>
      <c r="F6" s="3">
        <v>100</v>
      </c>
      <c r="G6" s="3">
        <v>600</v>
      </c>
      <c r="H6" s="3">
        <v>40</v>
      </c>
      <c r="I6" s="3">
        <v>120</v>
      </c>
      <c r="J6" s="3">
        <v>20000</v>
      </c>
      <c r="K6" s="3">
        <v>1</v>
      </c>
      <c r="L6" s="3" t="s">
        <v>78</v>
      </c>
      <c r="M6" s="3">
        <v>5</v>
      </c>
      <c r="N6" s="3">
        <v>600</v>
      </c>
      <c r="O6" s="3">
        <v>500</v>
      </c>
      <c r="P6" s="3" t="s">
        <v>79</v>
      </c>
      <c r="Q6" s="3">
        <v>30</v>
      </c>
      <c r="R6" s="7" t="s">
        <v>111</v>
      </c>
      <c r="S6" s="3" t="s">
        <v>80</v>
      </c>
      <c r="T6" s="3">
        <v>1</v>
      </c>
      <c r="U6" s="3">
        <v>99</v>
      </c>
      <c r="V6" s="3" t="s">
        <v>81</v>
      </c>
      <c r="W6" s="3" t="s">
        <v>73</v>
      </c>
      <c r="X6" s="3">
        <v>0</v>
      </c>
      <c r="Y6" s="12" t="s">
        <v>82</v>
      </c>
    </row>
    <row r="7" spans="1:27" customFormat="1" ht="60" x14ac:dyDescent="0.15">
      <c r="A7" s="3" t="s">
        <v>83</v>
      </c>
      <c r="B7" s="8" t="s">
        <v>84</v>
      </c>
      <c r="C7" s="8" t="s">
        <v>85</v>
      </c>
      <c r="D7" s="8" t="e">
        <f>VLOOKUP(表2[[#This Row],[名称]],[1]!表1_8[#Data],2,FALSE)</f>
        <v>#REF!</v>
      </c>
      <c r="E7" s="8" t="e">
        <f>VLOOKUP(表2[[#This Row],[规则说明]],[1]!表1_8[#Data],2,FALSE)</f>
        <v>#REF!</v>
      </c>
      <c r="F7" s="3">
        <v>600</v>
      </c>
      <c r="G7" s="3">
        <v>2000</v>
      </c>
      <c r="H7" s="3">
        <v>80</v>
      </c>
      <c r="I7" s="3">
        <v>160</v>
      </c>
      <c r="J7" s="3">
        <v>200000</v>
      </c>
      <c r="K7" s="3">
        <v>1</v>
      </c>
      <c r="L7" s="3" t="s">
        <v>86</v>
      </c>
      <c r="M7" s="3">
        <v>5</v>
      </c>
      <c r="N7" s="3">
        <v>600</v>
      </c>
      <c r="O7" s="3">
        <v>500</v>
      </c>
      <c r="P7" s="3" t="s">
        <v>87</v>
      </c>
      <c r="Q7" s="3">
        <v>30</v>
      </c>
      <c r="R7" s="7" t="s">
        <v>112</v>
      </c>
      <c r="S7" s="3" t="s">
        <v>88</v>
      </c>
      <c r="T7" s="3">
        <v>1</v>
      </c>
      <c r="U7" s="3">
        <v>99</v>
      </c>
      <c r="V7" s="3" t="s">
        <v>89</v>
      </c>
      <c r="W7" s="3" t="s">
        <v>73</v>
      </c>
      <c r="X7" s="3">
        <v>0</v>
      </c>
      <c r="Y7" s="12" t="s">
        <v>90</v>
      </c>
    </row>
    <row r="8" spans="1:27" customFormat="1" ht="60" x14ac:dyDescent="0.15">
      <c r="A8" s="3" t="s">
        <v>100</v>
      </c>
      <c r="B8" s="8" t="s">
        <v>101</v>
      </c>
      <c r="C8" s="8" t="s">
        <v>102</v>
      </c>
      <c r="D8" s="8" t="e">
        <f>VLOOKUP(表2[[#This Row],[名称]],[1]!表1_8[#Data],2,FALSE)</f>
        <v>#REF!</v>
      </c>
      <c r="E8" s="8" t="e">
        <f>VLOOKUP(表2[[#This Row],[规则说明]],[1]!表1_8[#Data],2,FALSE)</f>
        <v>#REF!</v>
      </c>
      <c r="F8" s="3">
        <v>2000</v>
      </c>
      <c r="G8" s="3">
        <v>100000</v>
      </c>
      <c r="H8" s="3">
        <v>120</v>
      </c>
      <c r="I8" s="3">
        <v>200</v>
      </c>
      <c r="J8" s="3">
        <v>1000000</v>
      </c>
      <c r="K8" s="3">
        <v>1</v>
      </c>
      <c r="L8" s="3" t="s">
        <v>103</v>
      </c>
      <c r="M8" s="3">
        <v>5</v>
      </c>
      <c r="N8" s="3">
        <v>600</v>
      </c>
      <c r="O8" s="3">
        <v>500</v>
      </c>
      <c r="P8" s="3" t="s">
        <v>105</v>
      </c>
      <c r="Q8" s="3">
        <v>30</v>
      </c>
      <c r="R8" s="7" t="s">
        <v>113</v>
      </c>
      <c r="S8" s="3" t="s">
        <v>104</v>
      </c>
      <c r="T8" s="3">
        <v>1</v>
      </c>
      <c r="U8" s="3">
        <v>99</v>
      </c>
      <c r="V8" s="3" t="s">
        <v>89</v>
      </c>
      <c r="W8" s="3" t="s">
        <v>73</v>
      </c>
      <c r="X8" s="3">
        <v>0</v>
      </c>
      <c r="Y8" s="12" t="s">
        <v>90</v>
      </c>
    </row>
    <row r="9" spans="1:27" customFormat="1" ht="60" x14ac:dyDescent="0.15">
      <c r="A9" s="3" t="s">
        <v>92</v>
      </c>
      <c r="B9" s="8" t="s">
        <v>84</v>
      </c>
      <c r="C9" s="8" t="s">
        <v>85</v>
      </c>
      <c r="D9" s="8" t="e">
        <f>VLOOKUP(表2[[#This Row],[名称]],[1]!表1_8[#Data],2,FALSE)</f>
        <v>#REF!</v>
      </c>
      <c r="E9" s="8" t="e">
        <f>VLOOKUP(表2[[#This Row],[规则说明]],[1]!表1_8[#Data],2,FALSE)</f>
        <v>#REF!</v>
      </c>
      <c r="F9" s="3">
        <v>1</v>
      </c>
      <c r="G9" s="3">
        <v>10000</v>
      </c>
      <c r="H9" s="3">
        <v>6</v>
      </c>
      <c r="I9" s="3">
        <v>10</v>
      </c>
      <c r="J9" s="3">
        <v>0</v>
      </c>
      <c r="K9" s="3">
        <v>2</v>
      </c>
      <c r="L9" s="3" t="s">
        <v>91</v>
      </c>
      <c r="M9" s="3">
        <v>5</v>
      </c>
      <c r="N9" s="3">
        <v>9999</v>
      </c>
      <c r="O9" s="3">
        <v>10</v>
      </c>
      <c r="P9" s="3" t="s">
        <v>93</v>
      </c>
      <c r="Q9" s="3">
        <v>200</v>
      </c>
      <c r="R9" s="7" t="s">
        <v>113</v>
      </c>
      <c r="S9" s="3" t="s">
        <v>88</v>
      </c>
      <c r="T9" s="3">
        <v>1</v>
      </c>
      <c r="U9" s="3">
        <v>99</v>
      </c>
      <c r="V9" s="3" t="s">
        <v>89</v>
      </c>
      <c r="W9" s="3" t="s">
        <v>73</v>
      </c>
      <c r="X9" s="3">
        <v>0</v>
      </c>
      <c r="Y9" s="12" t="s">
        <v>94</v>
      </c>
    </row>
    <row r="10" spans="1:27" x14ac:dyDescent="0.15">
      <c r="A10" s="3" t="s">
        <v>98</v>
      </c>
      <c r="B10" s="8">
        <v>0</v>
      </c>
      <c r="C10" s="8">
        <v>0</v>
      </c>
      <c r="D10" s="8" t="e">
        <f>VLOOKUP(表2[[#This Row],[名称]],[1]!表1_8[#Data],2,FALSE)</f>
        <v>#REF!</v>
      </c>
      <c r="E10" s="8" t="e">
        <f>VLOOKUP(表2[[#This Row],[规则说明]],[1]!表1_8[#Data],2,FALSE)</f>
        <v>#REF!</v>
      </c>
      <c r="F10" s="3">
        <v>1</v>
      </c>
      <c r="G10" s="3">
        <v>10000</v>
      </c>
      <c r="H10" s="3">
        <v>6</v>
      </c>
      <c r="I10" s="3">
        <v>10</v>
      </c>
      <c r="J10" s="3">
        <v>0</v>
      </c>
      <c r="K10" s="3">
        <v>0</v>
      </c>
      <c r="L10" s="3" t="s">
        <v>96</v>
      </c>
      <c r="M10" s="3">
        <v>0</v>
      </c>
      <c r="N10" s="3">
        <v>0</v>
      </c>
      <c r="O10" s="3">
        <v>0</v>
      </c>
      <c r="P10" s="3" t="s">
        <v>73</v>
      </c>
      <c r="Q10" s="3">
        <v>0</v>
      </c>
      <c r="R10" s="7" t="s">
        <v>95</v>
      </c>
      <c r="S10" s="3">
        <v>0</v>
      </c>
      <c r="T10" s="3">
        <v>1</v>
      </c>
      <c r="U10" s="3">
        <v>99</v>
      </c>
      <c r="V10" s="3">
        <v>0</v>
      </c>
      <c r="W10" s="3">
        <v>0</v>
      </c>
      <c r="X10" s="3">
        <v>0</v>
      </c>
      <c r="Y10" s="11" t="s">
        <v>74</v>
      </c>
    </row>
    <row r="11" spans="1:27" x14ac:dyDescent="0.15">
      <c r="A11" s="3" t="s">
        <v>99</v>
      </c>
      <c r="B11" s="8" t="s">
        <v>114</v>
      </c>
      <c r="C11" s="8">
        <v>0</v>
      </c>
      <c r="D11" s="8" t="e">
        <f>VLOOKUP(表2[[#This Row],[名称]],[1]!表1_8[#Data],2,FALSE)</f>
        <v>#REF!</v>
      </c>
      <c r="E11" s="8" t="e">
        <f>VLOOKUP(表2[[#This Row],[规则说明]],[1]!表1_8[#Data],2,FALSE)</f>
        <v>#REF!</v>
      </c>
      <c r="F11" s="3">
        <v>100</v>
      </c>
      <c r="G11" s="3">
        <v>100000</v>
      </c>
      <c r="H11" s="3">
        <v>6</v>
      </c>
      <c r="I11" s="3">
        <v>10</v>
      </c>
      <c r="J11" s="3">
        <v>0</v>
      </c>
      <c r="K11" s="3">
        <v>0</v>
      </c>
      <c r="L11" s="3" t="s">
        <v>97</v>
      </c>
      <c r="M11" s="3">
        <v>0</v>
      </c>
      <c r="N11" s="3">
        <v>0</v>
      </c>
      <c r="O11" s="3">
        <v>0</v>
      </c>
      <c r="P11" s="3" t="s">
        <v>73</v>
      </c>
      <c r="Q11" s="3">
        <v>0</v>
      </c>
      <c r="R11" s="7" t="s">
        <v>95</v>
      </c>
      <c r="S11" s="3">
        <v>0</v>
      </c>
      <c r="T11" s="3">
        <v>1</v>
      </c>
      <c r="U11" s="3">
        <v>99</v>
      </c>
      <c r="V11" s="3">
        <v>0</v>
      </c>
      <c r="W11" s="3">
        <v>0</v>
      </c>
      <c r="X11" s="3">
        <v>0</v>
      </c>
      <c r="Y11" s="12" t="s">
        <v>82</v>
      </c>
    </row>
    <row r="12" spans="1:27" ht="60" x14ac:dyDescent="0.15">
      <c r="A12" s="3" t="s">
        <v>118</v>
      </c>
      <c r="B12" s="8">
        <v>0</v>
      </c>
      <c r="C12" s="8">
        <v>0</v>
      </c>
      <c r="D12" s="8" t="e">
        <f>VLOOKUP(表2[[#This Row],[名称]],[1]!表1_8[#Data],2,FALSE)</f>
        <v>#REF!</v>
      </c>
      <c r="E12" s="8" t="e">
        <f>VLOOKUP(表2[[#This Row],[规则说明]],[1]!表1_8[#Data],2,FALSE)</f>
        <v>#REF!</v>
      </c>
      <c r="F12" s="3">
        <v>1</v>
      </c>
      <c r="G12" s="3">
        <v>10000</v>
      </c>
      <c r="H12" s="3">
        <v>6</v>
      </c>
      <c r="I12" s="3">
        <v>10</v>
      </c>
      <c r="J12" s="3">
        <v>0</v>
      </c>
      <c r="K12" s="3">
        <v>0</v>
      </c>
      <c r="L12" s="3" t="s">
        <v>96</v>
      </c>
      <c r="M12" s="3">
        <v>0</v>
      </c>
      <c r="N12" s="3">
        <v>0</v>
      </c>
      <c r="O12" s="3">
        <v>0</v>
      </c>
      <c r="P12" s="3" t="s">
        <v>73</v>
      </c>
      <c r="Q12" s="3">
        <v>0</v>
      </c>
      <c r="R12" s="7" t="s">
        <v>113</v>
      </c>
      <c r="S12" s="3">
        <v>0</v>
      </c>
      <c r="T12" s="3">
        <v>1</v>
      </c>
      <c r="U12" s="3">
        <v>99</v>
      </c>
      <c r="V12" s="3">
        <v>0</v>
      </c>
      <c r="W12" s="3">
        <v>0</v>
      </c>
      <c r="X12" s="3">
        <v>0</v>
      </c>
      <c r="Y12" s="11" t="s">
        <v>119</v>
      </c>
    </row>
    <row r="13" spans="1:27" x14ac:dyDescent="0.15">
      <c r="C13" s="9"/>
      <c r="D13" s="9"/>
      <c r="E13" s="9"/>
      <c r="M13" s="10"/>
      <c r="O13" s="10"/>
      <c r="R13" s="16"/>
    </row>
    <row r="14" spans="1:27" x14ac:dyDescent="0.15">
      <c r="M14" s="9"/>
      <c r="R14" s="16"/>
    </row>
    <row r="15" spans="1:27" x14ac:dyDescent="0.15">
      <c r="F15" s="9"/>
      <c r="G15" s="9"/>
      <c r="H15" s="9"/>
      <c r="I15" s="9"/>
      <c r="J15" s="9"/>
      <c r="K15" s="9"/>
      <c r="L15" s="9"/>
      <c r="M15" s="9"/>
      <c r="R15" s="16"/>
    </row>
    <row r="16" spans="1:27" x14ac:dyDescent="0.15">
      <c r="F16" s="9"/>
      <c r="G16" s="9"/>
      <c r="H16" s="9"/>
      <c r="I16" s="9"/>
      <c r="J16" s="9"/>
      <c r="K16" s="9"/>
      <c r="L16" s="9"/>
      <c r="M16" s="9"/>
      <c r="R16" s="16"/>
    </row>
    <row r="17" spans="6:18" x14ac:dyDescent="0.15">
      <c r="F17" s="9"/>
      <c r="G17" s="9"/>
      <c r="H17" s="9"/>
      <c r="I17" s="9"/>
      <c r="J17" s="9"/>
      <c r="K17" s="9"/>
      <c r="L17" s="9"/>
      <c r="M17" s="9"/>
      <c r="R17" s="16"/>
    </row>
    <row r="18" spans="6:18" x14ac:dyDescent="0.15">
      <c r="F18" s="9"/>
      <c r="G18" s="9"/>
      <c r="H18" s="9"/>
      <c r="I18" s="9"/>
      <c r="J18" s="9"/>
      <c r="K18" s="9"/>
      <c r="L18" s="9"/>
      <c r="M18" s="9"/>
      <c r="R18" s="16"/>
    </row>
    <row r="19" spans="6:18" x14ac:dyDescent="0.15">
      <c r="F19" s="9"/>
      <c r="G19" s="9"/>
      <c r="H19" s="9"/>
      <c r="I19" s="9"/>
      <c r="J19" s="9"/>
      <c r="K19" s="9"/>
      <c r="L19" s="9"/>
      <c r="M19" s="9"/>
      <c r="R19" s="16"/>
    </row>
    <row r="20" spans="6:18" x14ac:dyDescent="0.15">
      <c r="F20" s="9"/>
      <c r="G20" s="9"/>
      <c r="H20" s="9"/>
      <c r="I20" s="9"/>
      <c r="J20" s="9"/>
      <c r="K20" s="9"/>
      <c r="L20" s="9"/>
      <c r="M20" s="9"/>
      <c r="R20" s="16"/>
    </row>
    <row r="21" spans="6:18" x14ac:dyDescent="0.15">
      <c r="F21" s="9"/>
      <c r="G21" s="9"/>
      <c r="H21" s="9"/>
      <c r="I21" s="9"/>
      <c r="J21" s="9"/>
      <c r="K21" s="9"/>
      <c r="L21" s="9"/>
      <c r="M21" s="9"/>
      <c r="R21" s="16"/>
    </row>
    <row r="22" spans="6:18" x14ac:dyDescent="0.15">
      <c r="F22" s="9"/>
      <c r="G22" s="9"/>
      <c r="H22" s="9"/>
      <c r="I22" s="9"/>
      <c r="J22" s="9"/>
      <c r="K22" s="9"/>
      <c r="L22" s="9"/>
      <c r="M22" s="9"/>
      <c r="R22" s="16"/>
    </row>
    <row r="23" spans="6:18" x14ac:dyDescent="0.15">
      <c r="F23" s="9"/>
      <c r="G23" s="9"/>
      <c r="H23" s="9"/>
      <c r="I23" s="9"/>
      <c r="J23" s="9"/>
      <c r="K23" s="9"/>
      <c r="L23" s="9"/>
      <c r="M23" s="9"/>
      <c r="R23" s="16"/>
    </row>
    <row r="24" spans="6:18" x14ac:dyDescent="0.15">
      <c r="F24" s="9"/>
      <c r="G24" s="9"/>
      <c r="H24" s="9"/>
      <c r="I24" s="9"/>
      <c r="J24" s="9"/>
      <c r="K24" s="9"/>
      <c r="L24" s="9"/>
      <c r="M24" s="9"/>
      <c r="R24" s="16"/>
    </row>
    <row r="25" spans="6:18" x14ac:dyDescent="0.15">
      <c r="F25" s="9"/>
      <c r="G25" s="9"/>
      <c r="H25" s="9"/>
      <c r="I25" s="9"/>
      <c r="J25" s="9"/>
      <c r="K25" s="9"/>
      <c r="L25" s="9"/>
      <c r="M25" s="9"/>
      <c r="R25" s="16"/>
    </row>
    <row r="26" spans="6:18" x14ac:dyDescent="0.15">
      <c r="F26" s="9"/>
      <c r="G26" s="9"/>
      <c r="H26" s="9"/>
      <c r="I26" s="9"/>
      <c r="J26" s="9"/>
      <c r="K26" s="9"/>
      <c r="L26" s="9"/>
      <c r="M26" s="9"/>
      <c r="R26" s="16"/>
    </row>
    <row r="27" spans="6:18" x14ac:dyDescent="0.15">
      <c r="F27" s="9"/>
      <c r="G27" s="9"/>
      <c r="H27" s="9"/>
      <c r="I27" s="9"/>
      <c r="J27" s="9"/>
      <c r="K27" s="9"/>
      <c r="L27" s="9"/>
      <c r="M27" s="9"/>
      <c r="R27" s="16"/>
    </row>
    <row r="28" spans="6:18" x14ac:dyDescent="0.15">
      <c r="F28" s="9"/>
      <c r="G28" s="9"/>
      <c r="H28" s="9"/>
      <c r="I28" s="9"/>
      <c r="J28" s="9"/>
      <c r="K28" s="9"/>
      <c r="L28" s="9"/>
      <c r="M28" s="9"/>
      <c r="R28" s="16"/>
    </row>
    <row r="29" spans="6:18" x14ac:dyDescent="0.15">
      <c r="F29" s="9"/>
      <c r="G29" s="9"/>
      <c r="H29" s="9"/>
      <c r="I29" s="9"/>
      <c r="J29" s="9"/>
      <c r="K29" s="9"/>
      <c r="L29" s="9"/>
      <c r="M29" s="9"/>
      <c r="R29" s="16"/>
    </row>
    <row r="30" spans="6:18" x14ac:dyDescent="0.15">
      <c r="F30" s="9"/>
      <c r="G30" s="9"/>
      <c r="H30" s="9"/>
      <c r="I30" s="9"/>
      <c r="J30" s="9"/>
      <c r="K30" s="9"/>
      <c r="L30" s="9"/>
      <c r="M30" s="9"/>
      <c r="R30" s="16"/>
    </row>
    <row r="31" spans="6:18" x14ac:dyDescent="0.15">
      <c r="F31" s="9"/>
      <c r="G31" s="9"/>
      <c r="H31" s="9"/>
      <c r="I31" s="9"/>
      <c r="J31" s="9"/>
      <c r="K31" s="9"/>
      <c r="L31" s="9"/>
      <c r="M31" s="9"/>
      <c r="R31" s="16"/>
    </row>
    <row r="32" spans="6:18" x14ac:dyDescent="0.15">
      <c r="F32" s="9"/>
      <c r="G32" s="9"/>
      <c r="H32" s="9"/>
      <c r="I32" s="9"/>
      <c r="J32" s="9"/>
      <c r="K32" s="9"/>
      <c r="L32" s="9"/>
      <c r="M32" s="9"/>
      <c r="R32" s="16"/>
    </row>
    <row r="33" spans="6:18" x14ac:dyDescent="0.15">
      <c r="F33" s="9"/>
      <c r="G33" s="9"/>
      <c r="H33" s="9"/>
      <c r="I33" s="9"/>
      <c r="J33" s="9"/>
      <c r="K33" s="9"/>
      <c r="L33" s="9"/>
      <c r="M33" s="9"/>
      <c r="R33" s="16"/>
    </row>
    <row r="34" spans="6:18" x14ac:dyDescent="0.15">
      <c r="F34" s="9"/>
      <c r="G34" s="9"/>
      <c r="H34" s="9"/>
      <c r="I34" s="9"/>
      <c r="J34" s="9"/>
      <c r="K34" s="9"/>
      <c r="L34" s="9"/>
      <c r="M34" s="9"/>
      <c r="R34" s="16"/>
    </row>
    <row r="35" spans="6:18" x14ac:dyDescent="0.15">
      <c r="F35" s="9"/>
      <c r="G35" s="9"/>
      <c r="H35" s="9"/>
      <c r="I35" s="9"/>
      <c r="J35" s="9"/>
      <c r="K35" s="9"/>
      <c r="L35" s="9"/>
      <c r="M35" s="9"/>
      <c r="R35" s="16"/>
    </row>
    <row r="36" spans="6:18" x14ac:dyDescent="0.15">
      <c r="F36" s="9"/>
      <c r="G36" s="9"/>
      <c r="H36" s="9"/>
      <c r="I36" s="9"/>
      <c r="J36" s="9"/>
      <c r="K36" s="9"/>
      <c r="L36" s="9"/>
      <c r="M36" s="9"/>
      <c r="R36" s="16"/>
    </row>
    <row r="37" spans="6:18" x14ac:dyDescent="0.15">
      <c r="F37" s="9"/>
      <c r="G37" s="9"/>
      <c r="H37" s="9"/>
      <c r="I37" s="9"/>
      <c r="J37" s="9"/>
      <c r="K37" s="9"/>
      <c r="L37" s="9"/>
      <c r="M37" s="9"/>
      <c r="R37" s="16"/>
    </row>
    <row r="38" spans="6:18" x14ac:dyDescent="0.15">
      <c r="F38" s="9"/>
      <c r="M38" s="9"/>
      <c r="R38" s="16"/>
    </row>
    <row r="39" spans="6:18" x14ac:dyDescent="0.15">
      <c r="F39" s="9"/>
      <c r="M39" s="9"/>
      <c r="R39" s="16"/>
    </row>
    <row r="40" spans="6:18" x14ac:dyDescent="0.15">
      <c r="F40" s="9"/>
      <c r="M40" s="9"/>
      <c r="R40" s="16"/>
    </row>
    <row r="41" spans="6:18" x14ac:dyDescent="0.15">
      <c r="F41" s="9"/>
      <c r="M41" s="9"/>
      <c r="R41" s="16"/>
    </row>
    <row r="42" spans="6:18" x14ac:dyDescent="0.15">
      <c r="F42" s="9"/>
      <c r="M42" s="9"/>
      <c r="R42" s="16"/>
    </row>
    <row r="43" spans="6:18" x14ac:dyDescent="0.15">
      <c r="F43" s="9"/>
      <c r="M43" s="9"/>
      <c r="R43" s="16"/>
    </row>
    <row r="44" spans="6:18" x14ac:dyDescent="0.15">
      <c r="F44" s="9"/>
      <c r="M44" s="9"/>
      <c r="R44" s="16"/>
    </row>
    <row r="45" spans="6:18" x14ac:dyDescent="0.15">
      <c r="M45" s="9"/>
      <c r="R45" s="16"/>
    </row>
    <row r="46" spans="6:18" x14ac:dyDescent="0.15">
      <c r="M46" s="9"/>
      <c r="R46" s="16"/>
    </row>
    <row r="47" spans="6:18" x14ac:dyDescent="0.15">
      <c r="M47" s="9"/>
      <c r="R47" s="16"/>
    </row>
    <row r="48" spans="6:18" x14ac:dyDescent="0.15">
      <c r="M48" s="9"/>
      <c r="R48" s="16"/>
    </row>
    <row r="49" spans="13:18" x14ac:dyDescent="0.15">
      <c r="M49" s="9"/>
      <c r="R49" s="16"/>
    </row>
    <row r="50" spans="13:18" x14ac:dyDescent="0.15">
      <c r="M50" s="9"/>
      <c r="R50" s="16"/>
    </row>
    <row r="51" spans="13:18" x14ac:dyDescent="0.15">
      <c r="M51" s="9"/>
      <c r="R51" s="16"/>
    </row>
    <row r="52" spans="13:18" x14ac:dyDescent="0.15">
      <c r="M52" s="9"/>
      <c r="R52" s="16"/>
    </row>
    <row r="53" spans="13:18" x14ac:dyDescent="0.15">
      <c r="M53" s="9"/>
      <c r="R53" s="16"/>
    </row>
    <row r="54" spans="13:18" x14ac:dyDescent="0.15">
      <c r="M54" s="9"/>
      <c r="R54" s="16"/>
    </row>
    <row r="55" spans="13:18" x14ac:dyDescent="0.15">
      <c r="M55" s="9"/>
      <c r="R55" s="16"/>
    </row>
    <row r="56" spans="13:18" x14ac:dyDescent="0.15">
      <c r="M56" s="9"/>
      <c r="R56" s="16"/>
    </row>
    <row r="57" spans="13:18" x14ac:dyDescent="0.15">
      <c r="M57" s="9"/>
      <c r="R57" s="16"/>
    </row>
    <row r="58" spans="13:18" x14ac:dyDescent="0.15">
      <c r="M58" s="9"/>
    </row>
    <row r="59" spans="13:18" x14ac:dyDescent="0.15">
      <c r="M59" s="9"/>
    </row>
    <row r="60" spans="13:18" x14ac:dyDescent="0.15">
      <c r="M60" s="9"/>
    </row>
    <row r="61" spans="13:18" x14ac:dyDescent="0.15">
      <c r="M61" s="9"/>
    </row>
    <row r="62" spans="13:18" x14ac:dyDescent="0.15">
      <c r="M62" s="9"/>
    </row>
    <row r="63" spans="13:18" x14ac:dyDescent="0.15">
      <c r="M63" s="9"/>
    </row>
    <row r="64" spans="13:18" x14ac:dyDescent="0.15">
      <c r="M64" s="9"/>
    </row>
    <row r="65" spans="13:13" x14ac:dyDescent="0.15">
      <c r="M65" s="9"/>
    </row>
    <row r="66" spans="13:13" x14ac:dyDescent="0.15">
      <c r="M66" s="9"/>
    </row>
  </sheetData>
  <phoneticPr fontId="12" type="noConversion"/>
  <dataValidations count="4">
    <dataValidation allowBlank="1" showInputMessage="1" showErrorMessage="1" prompt="单位秒" sqref="O4" xr:uid="{00000000-0002-0000-0100-000000000000}"/>
    <dataValidation allowBlank="1" showInputMessage="1" showErrorMessage="1" prompt="0限时1多人" sqref="K4" xr:uid="{00000000-0002-0000-0100-000001000000}"/>
    <dataValidation allowBlank="1" showInputMessage="1" showErrorMessage="1" prompt="[任务id，任务id……]" sqref="P4" xr:uid="{00000000-0002-0000-0100-000002000000}"/>
    <dataValidation allowBlank="1" showInputMessage="1" showErrorMessage="1" promptTitle="版本&quot;,&quot;分割————————————" prompt="如果是所有版本，则填ALL" sqref="B1" xr:uid="{206363EB-290B-4D59-8DE1-6A744339E040}"/>
  </dataValidations>
  <pageMargins left="0.69930555555555596" right="0.69930555555555596" top="0.75" bottom="0.75" header="0.3" footer="0.3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2018-05-18T07:13:38Z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2052-10.1.0.6206</vt:lpwstr>
  </property>
</Properties>
</file>