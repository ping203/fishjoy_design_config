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A882FC6-63B7-4DED-ADB8-5E6A2C190199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K6" i="4" l="1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5" i="4" l="1"/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</calcChain>
</file>

<file path=xl/sharedStrings.xml><?xml version="1.0" encoding="utf-8"?>
<sst xmlns="http://schemas.openxmlformats.org/spreadsheetml/2006/main" count="111" uniqueCount="76">
  <si>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</si>
  <si>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</si>
  <si>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</si>
  <si>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</si>
  <si>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</si>
  <si>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</si>
  <si>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</si>
  <si>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</si>
  <si>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</si>
  <si>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</si>
  <si>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</si>
  <si>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</si>
  <si>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</si>
  <si>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skinid</t>
  </si>
  <si>
    <t>weaponspct</t>
  </si>
  <si>
    <t>unlock_level</t>
  </si>
  <si>
    <t>needpower</t>
  </si>
  <si>
    <t>addpower</t>
  </si>
  <si>
    <t>炮倍率</t>
  </si>
  <si>
    <t>倍率</t>
  </si>
  <si>
    <t>炮几率</t>
  </si>
  <si>
    <t>解锁所需等级</t>
  </si>
  <si>
    <t>激光能量需求</t>
  </si>
  <si>
    <t>攻击增加激光能量</t>
  </si>
  <si>
    <t>解锁需要材料</t>
    <phoneticPr fontId="4" type="noConversion"/>
  </si>
  <si>
    <t>unlock_cost</t>
    <phoneticPr fontId="4" type="noConversion"/>
  </si>
  <si>
    <t>unlock_material</t>
    <phoneticPr fontId="4" type="noConversion"/>
  </si>
  <si>
    <t>[]</t>
    <phoneticPr fontId="4" type="noConversion"/>
  </si>
  <si>
    <t>成功率</t>
    <phoneticPr fontId="4" type="noConversion"/>
  </si>
  <si>
    <t>需要钻石</t>
    <phoneticPr fontId="4" type="noConversion"/>
  </si>
  <si>
    <t>[["i015",1],["i501",10],["i502",10],["i503",10]]</t>
    <phoneticPr fontId="4" type="noConversion"/>
  </si>
  <si>
    <t>float</t>
    <phoneticPr fontId="4" type="noConversion"/>
  </si>
  <si>
    <t>float</t>
    <phoneticPr fontId="4" type="noConversion"/>
  </si>
  <si>
    <t>[["i015",1],["i502",20],["i503",20],["i504",20]]</t>
    <phoneticPr fontId="4" type="noConversion"/>
  </si>
  <si>
    <t>[["i015",1],["i503",30],["i504",30],["i505",30]]</t>
    <phoneticPr fontId="4" type="noConversion"/>
  </si>
  <si>
    <t>[["i015",1],["i504",40],["i505",40],["i501",40]]</t>
    <phoneticPr fontId="4" type="noConversion"/>
  </si>
  <si>
    <t>[["i015",1],["i505",50],["i501",50],["i502",50]]</t>
    <phoneticPr fontId="4" type="noConversion"/>
  </si>
  <si>
    <t>[["i016",1],["i501",100],["i502",100],["i503",100]]</t>
    <phoneticPr fontId="4" type="noConversion"/>
  </si>
  <si>
    <t>[["i016",1],["i502",150],["i503",150],["i504",150]]</t>
    <phoneticPr fontId="4" type="noConversion"/>
  </si>
  <si>
    <t>[["i016",1],["i503",200],["i504",200],["i505",200]]</t>
    <phoneticPr fontId="4" type="noConversion"/>
  </si>
  <si>
    <t>[["i016",1],["i504",250],["i505",250],["i501",250]]</t>
    <phoneticPr fontId="4" type="noConversion"/>
  </si>
  <si>
    <t>[["i016",1],["i505",300],["i501",300],["i502",300]]</t>
    <phoneticPr fontId="4" type="noConversion"/>
  </si>
  <si>
    <t>[["i016",1],["i501",350],["i502",350],["i503",350]]</t>
    <phoneticPr fontId="4" type="noConversion"/>
  </si>
  <si>
    <t>[["i017",1],["i502",400],["i503",400],["i504",400]]</t>
    <phoneticPr fontId="4" type="noConversion"/>
  </si>
  <si>
    <t>[["i017",3],["i502",3000],["i503",3000],["i505",3000]]</t>
  </si>
  <si>
    <t>[["i017",3],["i502",2800],["i503",2800],["i505",2800]]</t>
  </si>
  <si>
    <t>[["i017",3],["i502",2600],["i503",2600],["i505",2600]]</t>
  </si>
  <si>
    <t>[["i017",3],["i502",2400],["i503",2400],["i505",2400]]</t>
  </si>
  <si>
    <t>[["i017",3],["i502",2200],["i503",2200],["i505",2200]]</t>
  </si>
  <si>
    <t>[["i017",2],["i502",1600],["i503",1600],["i505",1600]]</t>
  </si>
  <si>
    <t>[["i017",1],["i501",1000],["i502",1000],["i503",1000]]</t>
  </si>
  <si>
    <t>[["i017",1],["i505",800],["i501",800],["i502",800]]</t>
  </si>
  <si>
    <t>[["i017",1],["i504",600],["i505",600],["i501",600]]</t>
  </si>
  <si>
    <t>[["i017",1],["i503",500],["i504",500],["i505",500]]</t>
  </si>
  <si>
    <t>[["i017",8],["i502",6000],["i503",6000],["i505",6000]]</t>
  </si>
  <si>
    <t>[["i017",7],["i502",5500],["i503",5500],["i505",5500]]</t>
  </si>
  <si>
    <t>[["i017",6],["i502",5000],["i503",5000],["i505",5000]]</t>
  </si>
  <si>
    <t>[["i017",5],["i502",4500],["i503",4500],["i505",4500]]</t>
  </si>
  <si>
    <t>[["i017",4],["i502",4000],["i503",4000],["i505",4000]]</t>
  </si>
  <si>
    <t>[["i017",3],["i502",3500],["i503",3500],["i505",3500]]</t>
  </si>
  <si>
    <t>[["i017",3],["i502",3200],["i503",3200],["i505",3200]]</t>
  </si>
  <si>
    <t>[["i017",2],["i502",2000],["i503",2000],["i505",2000]]</t>
  </si>
  <si>
    <t>[["i017",2],["i502",1900],["i503",1900],["i505",1900]]</t>
  </si>
  <si>
    <t>[["i017",2],["i502",1800],["i503",1800],["i505",1800]]</t>
  </si>
  <si>
    <t>[["i017",2],["i502",1700],["i503",1700],["i505",1700]]</t>
  </si>
  <si>
    <t>[["i017",1],["i502",1500],["i503",1500],["i505",1500]]</t>
  </si>
  <si>
    <t>列1</t>
    <phoneticPr fontId="4" type="noConversion"/>
  </si>
  <si>
    <t>int</t>
    <phoneticPr fontId="4" type="noConversion"/>
  </si>
  <si>
    <t>weaponlevel</t>
    <phoneticPr fontId="4" type="noConversion"/>
  </si>
  <si>
    <t>charm</t>
    <phoneticPr fontId="4" type="noConversion"/>
  </si>
  <si>
    <t>int</t>
    <phoneticPr fontId="4" type="noConversion"/>
  </si>
  <si>
    <t>魅力</t>
    <phoneticPr fontId="4" type="noConversion"/>
  </si>
  <si>
    <r>
      <t>unlock_</t>
    </r>
    <r>
      <rPr>
        <sz val="11"/>
        <color indexed="8"/>
        <rFont val="宋体"/>
        <family val="2"/>
        <charset val="134"/>
      </rPr>
      <t>rate</t>
    </r>
    <phoneticPr fontId="4" type="noConversion"/>
  </si>
  <si>
    <r>
      <t>t</t>
    </r>
    <r>
      <rPr>
        <sz val="11"/>
        <color indexed="8"/>
        <rFont val="宋体"/>
        <family val="2"/>
        <charset val="134"/>
      </rPr>
      <t>able</t>
    </r>
    <phoneticPr fontId="4" type="noConversion"/>
  </si>
  <si>
    <t>key</t>
    <phoneticPr fontId="11" type="noConversion"/>
  </si>
  <si>
    <t>ALL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</si>
</sst>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2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2" fillId="7" borderId="1" xfId="2" applyNumberFormat="1" applyFont="1" applyFill="1" applyBorder="1" applyAlignment="1">
      <alignment horizontal="right"/>
    </xf>
    <xf numFmtId="49" fontId="12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0366D97-366F-4E36-9E0F-EFC80C78C8D8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K71" totalsRowShown="0">
  <autoFilter ref="A4:K71" xr:uid="{00000000-0009-0000-0100-000003000000}"/>
  <tableColumns count="11">
    <tableColumn id="1" xr3:uid="{00000000-0010-0000-0100-000001000000}" name="炮倍率">
      <calculatedColumnFormula>""&amp;B5</calculatedColumnFormula>
    </tableColumn>
    <tableColumn id="2" xr3:uid="{00000000-0010-0000-0100-000002000000}" name="倍率"/>
    <tableColumn id="11" xr3:uid="{00000000-0010-0000-0100-00000B000000}" name="魅力" dataDxfId="2"/>
    <tableColumn id="3" xr3:uid="{00000000-0010-0000-0100-000003000000}" name="需要钻石"/>
    <tableColumn id="8" xr3:uid="{00000000-0010-0000-0100-000008000000}" name="解锁需要材料"/>
    <tableColumn id="9" xr3:uid="{00000000-0010-0000-0100-000009000000}" name="成功率"/>
    <tableColumn id="4" xr3:uid="{00000000-0010-0000-0100-000004000000}" name="炮几率"/>
    <tableColumn id="5" xr3:uid="{00000000-0010-0000-0100-000005000000}" name="解锁所需等级" dataDxfId="1">
      <calculatedColumnFormula>0</calculatedColumnFormula>
    </tableColumn>
    <tableColumn id="6" xr3:uid="{00000000-0010-0000-0100-000006000000}" name="激光能量需求"/>
    <tableColumn id="7" xr3:uid="{00000000-0010-0000-0100-000007000000}" name="攻击增加激光能量"/>
    <tableColumn id="10" xr3:uid="{00000000-0010-0000-0100-00000A000000}" name="列1" dataDxfId="0">
      <calculatedColumnFormula>表3[[#This Row],[炮几率]]-0.01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3" t="s">
        <v>4</v>
      </c>
      <c r="B3" t="s">
        <v>5</v>
      </c>
      <c r="C3">
        <v>2</v>
      </c>
      <c r="D3">
        <v>10</v>
      </c>
    </row>
    <row r="4" spans="1:4" ht="16.5" x14ac:dyDescent="0.15">
      <c r="A4" s="4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9" t="s">
        <v>8</v>
      </c>
      <c r="B6" s="20"/>
      <c r="C6">
        <v>5</v>
      </c>
      <c r="D6">
        <v>60</v>
      </c>
    </row>
    <row r="7" spans="1:4" x14ac:dyDescent="0.15">
      <c r="A7" s="20"/>
      <c r="B7" s="20"/>
      <c r="C7">
        <v>6</v>
      </c>
      <c r="D7">
        <v>100</v>
      </c>
    </row>
    <row r="8" spans="1:4" x14ac:dyDescent="0.15">
      <c r="A8" s="20"/>
      <c r="B8" s="20"/>
      <c r="C8">
        <v>7</v>
      </c>
      <c r="D8">
        <v>150</v>
      </c>
    </row>
    <row r="9" spans="1:4" x14ac:dyDescent="0.15">
      <c r="A9" s="20"/>
      <c r="B9" s="20"/>
      <c r="C9">
        <v>8</v>
      </c>
      <c r="D9">
        <v>200</v>
      </c>
    </row>
    <row r="10" spans="1:4" x14ac:dyDescent="0.15">
      <c r="A10" s="20"/>
      <c r="B10" s="20"/>
      <c r="C10">
        <v>9</v>
      </c>
      <c r="D10">
        <v>300</v>
      </c>
    </row>
    <row r="11" spans="1:4" x14ac:dyDescent="0.15">
      <c r="A11" s="20"/>
      <c r="B11" s="20"/>
      <c r="C11">
        <v>10</v>
      </c>
      <c r="D11">
        <v>400</v>
      </c>
    </row>
    <row r="12" spans="1:4" x14ac:dyDescent="0.15">
      <c r="A12" s="20"/>
      <c r="B12" s="20"/>
      <c r="C12">
        <v>11</v>
      </c>
      <c r="D12">
        <v>600</v>
      </c>
    </row>
    <row r="13" spans="1:4" x14ac:dyDescent="0.15">
      <c r="A13" s="20"/>
      <c r="B13" s="20"/>
      <c r="C13">
        <v>12</v>
      </c>
      <c r="D13">
        <v>800</v>
      </c>
    </row>
    <row r="14" spans="1:4" x14ac:dyDescent="0.15">
      <c r="A14" s="20"/>
      <c r="B14" s="20"/>
    </row>
    <row r="15" spans="1:4" x14ac:dyDescent="0.15">
      <c r="A15" s="20"/>
      <c r="B15" s="20"/>
    </row>
    <row r="16" spans="1:4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hidden="1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 t="s">
        <v>11</v>
      </c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  <row r="46" spans="1:2" x14ac:dyDescent="0.15">
      <c r="A46" s="18"/>
      <c r="B46" s="18"/>
    </row>
    <row r="47" spans="1:2" x14ac:dyDescent="0.15">
      <c r="A47" s="18"/>
      <c r="B47" s="18"/>
    </row>
    <row r="48" spans="1:2" x14ac:dyDescent="0.15">
      <c r="A48" s="18"/>
      <c r="B48" s="18"/>
    </row>
    <row r="49" spans="1:2" x14ac:dyDescent="0.15">
      <c r="A49" s="18"/>
      <c r="B49" s="18"/>
    </row>
    <row r="50" spans="1:2" x14ac:dyDescent="0.15">
      <c r="A50" s="18"/>
      <c r="B50" s="18"/>
    </row>
    <row r="51" spans="1:2" x14ac:dyDescent="0.15">
      <c r="A51" s="18"/>
      <c r="B51" s="18"/>
    </row>
    <row r="52" spans="1:2" x14ac:dyDescent="0.15">
      <c r="A52" s="18"/>
      <c r="B52" s="18"/>
    </row>
    <row r="53" spans="1:2" x14ac:dyDescent="0.15">
      <c r="A53" s="18"/>
      <c r="B53" s="18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71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G14" sqref="G14"/>
    </sheetView>
  </sheetViews>
  <sheetFormatPr defaultColWidth="9" defaultRowHeight="13.5" x14ac:dyDescent="0.15"/>
  <cols>
    <col min="1" max="1" width="13.375" style="5" customWidth="1"/>
    <col min="2" max="2" width="13.625" style="5" bestFit="1" customWidth="1"/>
    <col min="3" max="3" width="7.75" style="5" bestFit="1" customWidth="1"/>
    <col min="4" max="4" width="11.5" style="5" customWidth="1"/>
    <col min="5" max="5" width="57.125" style="5" bestFit="1" customWidth="1"/>
    <col min="6" max="6" width="10.75" style="5" customWidth="1"/>
    <col min="7" max="7" width="13.125" style="5" customWidth="1"/>
    <col min="8" max="8" width="14.25" style="5" customWidth="1"/>
    <col min="9" max="9" width="10.875" style="5" customWidth="1"/>
    <col min="10" max="10" width="18.125" style="5" customWidth="1"/>
    <col min="11" max="16384" width="9" style="5"/>
  </cols>
  <sheetData>
    <row r="1" spans="1:27" s="10" customFormat="1" ht="12" customHeight="1" x14ac:dyDescent="0.15">
      <c r="A1" s="9"/>
      <c r="B1" s="10" t="s">
        <v>75</v>
      </c>
      <c r="C1" s="9"/>
      <c r="X1" s="11"/>
    </row>
    <row r="2" spans="1:27" s="14" customFormat="1" ht="12" customHeight="1" x14ac:dyDescent="0.15">
      <c r="A2" s="12" t="s">
        <v>13</v>
      </c>
      <c r="B2" s="13" t="s">
        <v>68</v>
      </c>
      <c r="C2" s="13" t="s">
        <v>69</v>
      </c>
      <c r="D2" s="13" t="s">
        <v>25</v>
      </c>
      <c r="E2" s="13" t="s">
        <v>26</v>
      </c>
      <c r="F2" s="13" t="s">
        <v>72</v>
      </c>
      <c r="G2" s="13" t="s">
        <v>14</v>
      </c>
      <c r="H2" s="13" t="s">
        <v>15</v>
      </c>
      <c r="I2" s="13" t="s">
        <v>16</v>
      </c>
      <c r="J2" s="13" t="s">
        <v>17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74</v>
      </c>
      <c r="B3" s="16" t="s">
        <v>67</v>
      </c>
      <c r="C3" s="16" t="s">
        <v>70</v>
      </c>
      <c r="D3" s="16" t="s">
        <v>12</v>
      </c>
      <c r="E3" s="16" t="s">
        <v>73</v>
      </c>
      <c r="F3" s="16" t="s">
        <v>32</v>
      </c>
      <c r="G3" s="16" t="s">
        <v>31</v>
      </c>
      <c r="H3" s="16" t="s">
        <v>12</v>
      </c>
      <c r="I3" s="16" t="s">
        <v>12</v>
      </c>
      <c r="J3" s="16" t="s">
        <v>12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s="5" t="s">
        <v>18</v>
      </c>
      <c r="B4" s="5" t="s">
        <v>19</v>
      </c>
      <c r="C4" s="6" t="s">
        <v>71</v>
      </c>
      <c r="D4" s="6" t="s">
        <v>29</v>
      </c>
      <c r="E4" s="6" t="s">
        <v>24</v>
      </c>
      <c r="F4" s="6" t="s">
        <v>28</v>
      </c>
      <c r="G4" s="5" t="s">
        <v>20</v>
      </c>
      <c r="H4" s="7" t="s">
        <v>21</v>
      </c>
      <c r="I4" s="5" t="s">
        <v>22</v>
      </c>
      <c r="J4" s="5" t="s">
        <v>23</v>
      </c>
      <c r="K4" s="5" t="s">
        <v>66</v>
      </c>
    </row>
    <row r="5" spans="1:27" x14ac:dyDescent="0.15">
      <c r="A5" s="5" t="str">
        <f>""&amp;B5</f>
        <v>1</v>
      </c>
      <c r="B5" s="5">
        <v>1</v>
      </c>
      <c r="C5" s="8">
        <v>20</v>
      </c>
      <c r="D5" s="5">
        <v>0</v>
      </c>
      <c r="E5" s="6" t="s">
        <v>27</v>
      </c>
      <c r="F5" s="5">
        <v>1</v>
      </c>
      <c r="G5" s="5">
        <v>0.89</v>
      </c>
      <c r="H5" s="7">
        <f>0</f>
        <v>0</v>
      </c>
      <c r="I5" s="5">
        <v>3000</v>
      </c>
      <c r="J5" s="5">
        <v>1</v>
      </c>
      <c r="K5" s="5">
        <f>表3[[#This Row],[炮几率]]-0.01</f>
        <v>0.88</v>
      </c>
    </row>
    <row r="6" spans="1:27" x14ac:dyDescent="0.15">
      <c r="A6" s="5" t="str">
        <f>""&amp;B6</f>
        <v>5</v>
      </c>
      <c r="B6" s="5">
        <v>5</v>
      </c>
      <c r="C6" s="8">
        <v>40</v>
      </c>
      <c r="D6" s="5">
        <v>6</v>
      </c>
      <c r="E6" s="6" t="s">
        <v>27</v>
      </c>
      <c r="F6" s="5">
        <v>1</v>
      </c>
      <c r="G6" s="5">
        <v>0.89</v>
      </c>
      <c r="H6" s="7">
        <f>0</f>
        <v>0</v>
      </c>
      <c r="I6" s="5">
        <v>3000</v>
      </c>
      <c r="J6" s="5">
        <v>1</v>
      </c>
      <c r="K6" s="5">
        <f>表3[[#This Row],[炮几率]]-0.01</f>
        <v>0.88</v>
      </c>
    </row>
    <row r="7" spans="1:27" x14ac:dyDescent="0.15">
      <c r="A7" s="5" t="str">
        <f t="shared" ref="A7:A42" si="0">""&amp;B7</f>
        <v>10</v>
      </c>
      <c r="B7" s="5">
        <v>10</v>
      </c>
      <c r="C7" s="8">
        <v>60</v>
      </c>
      <c r="D7" s="5">
        <v>12</v>
      </c>
      <c r="E7" s="6" t="s">
        <v>27</v>
      </c>
      <c r="F7" s="5">
        <v>1</v>
      </c>
      <c r="G7" s="5">
        <v>0.89</v>
      </c>
      <c r="H7" s="7">
        <f>0</f>
        <v>0</v>
      </c>
      <c r="I7" s="5">
        <v>3000</v>
      </c>
      <c r="J7" s="5">
        <v>1</v>
      </c>
      <c r="K7" s="5">
        <f>表3[[#This Row],[炮几率]]-0.01</f>
        <v>0.88</v>
      </c>
    </row>
    <row r="8" spans="1:27" x14ac:dyDescent="0.15">
      <c r="A8" s="5" t="str">
        <f t="shared" si="0"/>
        <v>20</v>
      </c>
      <c r="B8" s="5">
        <v>20</v>
      </c>
      <c r="C8" s="8">
        <v>80</v>
      </c>
      <c r="D8" s="5">
        <v>15</v>
      </c>
      <c r="E8" s="6" t="s">
        <v>27</v>
      </c>
      <c r="F8" s="5">
        <v>1</v>
      </c>
      <c r="G8" s="5">
        <v>0.89</v>
      </c>
      <c r="H8" s="7">
        <f>0</f>
        <v>0</v>
      </c>
      <c r="I8" s="5">
        <v>3000</v>
      </c>
      <c r="J8" s="5">
        <v>1</v>
      </c>
      <c r="K8" s="5">
        <f>表3[[#This Row],[炮几率]]-0.01</f>
        <v>0.88</v>
      </c>
    </row>
    <row r="9" spans="1:27" x14ac:dyDescent="0.15">
      <c r="A9" s="5" t="str">
        <f t="shared" si="0"/>
        <v>30</v>
      </c>
      <c r="B9" s="5">
        <v>30</v>
      </c>
      <c r="C9" s="8">
        <v>100</v>
      </c>
      <c r="D9" s="5">
        <v>18</v>
      </c>
      <c r="E9" s="6" t="s">
        <v>27</v>
      </c>
      <c r="F9" s="5">
        <v>1</v>
      </c>
      <c r="G9" s="5">
        <v>0.89</v>
      </c>
      <c r="H9" s="7">
        <f>0</f>
        <v>0</v>
      </c>
      <c r="I9" s="5">
        <v>3000</v>
      </c>
      <c r="J9" s="5">
        <v>1</v>
      </c>
      <c r="K9" s="5">
        <f>表3[[#This Row],[炮几率]]-0.01</f>
        <v>0.88</v>
      </c>
    </row>
    <row r="10" spans="1:27" x14ac:dyDescent="0.15">
      <c r="A10" s="5" t="str">
        <f t="shared" si="0"/>
        <v>40</v>
      </c>
      <c r="B10" s="5">
        <v>40</v>
      </c>
      <c r="C10" s="8">
        <v>120</v>
      </c>
      <c r="D10" s="5">
        <v>21</v>
      </c>
      <c r="E10" s="6" t="s">
        <v>27</v>
      </c>
      <c r="F10" s="5">
        <v>1</v>
      </c>
      <c r="G10" s="5">
        <v>0.89</v>
      </c>
      <c r="H10" s="7">
        <f>0</f>
        <v>0</v>
      </c>
      <c r="I10" s="5">
        <v>3000</v>
      </c>
      <c r="J10" s="5">
        <v>1</v>
      </c>
      <c r="K10" s="5">
        <f>表3[[#This Row],[炮几率]]-0.01</f>
        <v>0.88</v>
      </c>
    </row>
    <row r="11" spans="1:27" x14ac:dyDescent="0.15">
      <c r="A11" s="5" t="str">
        <f t="shared" si="0"/>
        <v>50</v>
      </c>
      <c r="B11" s="5">
        <v>50</v>
      </c>
      <c r="C11" s="8">
        <v>140</v>
      </c>
      <c r="D11" s="5">
        <v>24</v>
      </c>
      <c r="E11" s="6" t="s">
        <v>27</v>
      </c>
      <c r="F11" s="5">
        <v>1</v>
      </c>
      <c r="G11" s="5">
        <v>0.89</v>
      </c>
      <c r="H11" s="7">
        <f>0</f>
        <v>0</v>
      </c>
      <c r="I11" s="5">
        <v>3000</v>
      </c>
      <c r="J11" s="5">
        <v>1</v>
      </c>
      <c r="K11" s="5">
        <f>表3[[#This Row],[炮几率]]-0.01</f>
        <v>0.88</v>
      </c>
    </row>
    <row r="12" spans="1:27" x14ac:dyDescent="0.15">
      <c r="A12" s="5" t="str">
        <f t="shared" si="0"/>
        <v>60</v>
      </c>
      <c r="B12" s="5">
        <v>60</v>
      </c>
      <c r="C12" s="8">
        <v>160</v>
      </c>
      <c r="D12" s="5">
        <v>27</v>
      </c>
      <c r="E12" s="6" t="s">
        <v>27</v>
      </c>
      <c r="F12" s="5">
        <v>1</v>
      </c>
      <c r="G12" s="5">
        <v>0.89</v>
      </c>
      <c r="H12" s="7">
        <f>0</f>
        <v>0</v>
      </c>
      <c r="I12" s="5">
        <v>3000</v>
      </c>
      <c r="J12" s="5">
        <v>1</v>
      </c>
      <c r="K12" s="5">
        <f>表3[[#This Row],[炮几率]]-0.01</f>
        <v>0.88</v>
      </c>
    </row>
    <row r="13" spans="1:27" x14ac:dyDescent="0.15">
      <c r="A13" s="5" t="str">
        <f t="shared" si="0"/>
        <v>70</v>
      </c>
      <c r="B13" s="5">
        <v>70</v>
      </c>
      <c r="C13" s="8">
        <v>180</v>
      </c>
      <c r="D13" s="5">
        <v>30</v>
      </c>
      <c r="E13" s="6" t="s">
        <v>27</v>
      </c>
      <c r="F13" s="5">
        <v>1</v>
      </c>
      <c r="G13" s="5">
        <v>0.89</v>
      </c>
      <c r="H13" s="7">
        <f>0</f>
        <v>0</v>
      </c>
      <c r="I13" s="5">
        <v>3000</v>
      </c>
      <c r="J13" s="5">
        <v>1</v>
      </c>
      <c r="K13" s="5">
        <f>表3[[#This Row],[炮几率]]-0.01</f>
        <v>0.88</v>
      </c>
    </row>
    <row r="14" spans="1:27" x14ac:dyDescent="0.15">
      <c r="A14" s="5" t="str">
        <f t="shared" si="0"/>
        <v>80</v>
      </c>
      <c r="B14" s="5">
        <v>80</v>
      </c>
      <c r="C14" s="8">
        <v>200</v>
      </c>
      <c r="D14" s="5">
        <v>33</v>
      </c>
      <c r="E14" s="6" t="s">
        <v>27</v>
      </c>
      <c r="F14" s="5">
        <v>1</v>
      </c>
      <c r="G14" s="5">
        <v>0.89</v>
      </c>
      <c r="H14" s="7">
        <f>0</f>
        <v>0</v>
      </c>
      <c r="I14" s="5">
        <v>3000</v>
      </c>
      <c r="J14" s="5">
        <v>1</v>
      </c>
      <c r="K14" s="5">
        <f>表3[[#This Row],[炮几率]]-0.01</f>
        <v>0.88</v>
      </c>
    </row>
    <row r="15" spans="1:27" x14ac:dyDescent="0.15">
      <c r="A15" s="5" t="str">
        <f t="shared" si="0"/>
        <v>90</v>
      </c>
      <c r="B15" s="5">
        <v>90</v>
      </c>
      <c r="C15" s="8">
        <v>220</v>
      </c>
      <c r="D15" s="5">
        <v>36</v>
      </c>
      <c r="E15" s="6" t="s">
        <v>27</v>
      </c>
      <c r="F15" s="5">
        <v>1</v>
      </c>
      <c r="G15" s="5">
        <v>0.89</v>
      </c>
      <c r="H15" s="7">
        <f>0</f>
        <v>0</v>
      </c>
      <c r="I15" s="5">
        <v>3000</v>
      </c>
      <c r="J15" s="5">
        <v>1</v>
      </c>
      <c r="K15" s="5">
        <f>表3[[#This Row],[炮几率]]-0.01</f>
        <v>0.88</v>
      </c>
    </row>
    <row r="16" spans="1:27" x14ac:dyDescent="0.15">
      <c r="A16" s="5" t="str">
        <f t="shared" si="0"/>
        <v>100</v>
      </c>
      <c r="B16" s="5">
        <v>100</v>
      </c>
      <c r="C16" s="8">
        <v>240</v>
      </c>
      <c r="D16" s="5">
        <v>39</v>
      </c>
      <c r="E16" s="6" t="s">
        <v>27</v>
      </c>
      <c r="F16" s="5">
        <v>1</v>
      </c>
      <c r="G16" s="5">
        <v>0.88500000000000001</v>
      </c>
      <c r="H16" s="7">
        <f>0</f>
        <v>0</v>
      </c>
      <c r="I16" s="5">
        <v>3000</v>
      </c>
      <c r="J16" s="5">
        <v>1</v>
      </c>
      <c r="K16" s="5">
        <f>表3[[#This Row],[炮几率]]-0.01</f>
        <v>0.875</v>
      </c>
    </row>
    <row r="17" spans="1:13" x14ac:dyDescent="0.15">
      <c r="A17" s="5" t="str">
        <f t="shared" si="0"/>
        <v>120</v>
      </c>
      <c r="B17" s="5">
        <v>120</v>
      </c>
      <c r="C17" s="8">
        <v>280</v>
      </c>
      <c r="D17" s="5">
        <v>45</v>
      </c>
      <c r="E17" s="6" t="s">
        <v>27</v>
      </c>
      <c r="F17" s="5">
        <v>1</v>
      </c>
      <c r="G17" s="5">
        <v>0.88500000000000001</v>
      </c>
      <c r="H17" s="7">
        <f>0</f>
        <v>0</v>
      </c>
      <c r="I17" s="5">
        <v>3000</v>
      </c>
      <c r="J17" s="5">
        <v>1</v>
      </c>
      <c r="K17" s="5">
        <f>表3[[#This Row],[炮几率]]-0.01</f>
        <v>0.875</v>
      </c>
    </row>
    <row r="18" spans="1:13" x14ac:dyDescent="0.15">
      <c r="A18" s="5" t="str">
        <f t="shared" si="0"/>
        <v>140</v>
      </c>
      <c r="B18" s="5">
        <v>140</v>
      </c>
      <c r="C18" s="8">
        <v>320</v>
      </c>
      <c r="D18" s="5">
        <v>54</v>
      </c>
      <c r="E18" s="6" t="s">
        <v>27</v>
      </c>
      <c r="F18" s="5">
        <v>1</v>
      </c>
      <c r="G18" s="5">
        <v>0.88500000000000001</v>
      </c>
      <c r="H18" s="7">
        <f>0</f>
        <v>0</v>
      </c>
      <c r="I18" s="5">
        <v>3000</v>
      </c>
      <c r="J18" s="5">
        <v>1</v>
      </c>
      <c r="K18" s="5">
        <f>表3[[#This Row],[炮几率]]-0.01</f>
        <v>0.875</v>
      </c>
    </row>
    <row r="19" spans="1:13" x14ac:dyDescent="0.15">
      <c r="A19" s="5" t="str">
        <f t="shared" si="0"/>
        <v>160</v>
      </c>
      <c r="B19" s="5">
        <v>160</v>
      </c>
      <c r="C19" s="8">
        <v>360</v>
      </c>
      <c r="D19" s="5">
        <v>60</v>
      </c>
      <c r="E19" s="6" t="s">
        <v>27</v>
      </c>
      <c r="F19" s="5">
        <v>1</v>
      </c>
      <c r="G19" s="5">
        <v>0.88500000000000001</v>
      </c>
      <c r="H19" s="7">
        <f>0</f>
        <v>0</v>
      </c>
      <c r="I19" s="5">
        <v>3000</v>
      </c>
      <c r="J19" s="5">
        <v>1</v>
      </c>
      <c r="K19" s="5">
        <f>表3[[#This Row],[炮几率]]-0.01</f>
        <v>0.875</v>
      </c>
      <c r="M19" s="6"/>
    </row>
    <row r="20" spans="1:13" x14ac:dyDescent="0.15">
      <c r="A20" s="5" t="str">
        <f t="shared" si="0"/>
        <v>180</v>
      </c>
      <c r="B20" s="5">
        <v>180</v>
      </c>
      <c r="C20" s="8">
        <v>400</v>
      </c>
      <c r="D20" s="5">
        <v>75</v>
      </c>
      <c r="E20" s="6" t="s">
        <v>27</v>
      </c>
      <c r="F20" s="5">
        <v>1</v>
      </c>
      <c r="G20" s="5">
        <v>0.88500000000000001</v>
      </c>
      <c r="H20" s="7">
        <f>0</f>
        <v>0</v>
      </c>
      <c r="I20" s="5">
        <v>3000</v>
      </c>
      <c r="J20" s="5">
        <v>1</v>
      </c>
      <c r="K20" s="5">
        <f>表3[[#This Row],[炮几率]]-0.01</f>
        <v>0.875</v>
      </c>
    </row>
    <row r="21" spans="1:13" x14ac:dyDescent="0.15">
      <c r="A21" s="5" t="str">
        <f t="shared" si="0"/>
        <v>200</v>
      </c>
      <c r="B21" s="5">
        <v>200</v>
      </c>
      <c r="C21" s="8">
        <v>440</v>
      </c>
      <c r="D21" s="5">
        <v>90</v>
      </c>
      <c r="E21" s="6" t="s">
        <v>27</v>
      </c>
      <c r="F21" s="5">
        <v>1</v>
      </c>
      <c r="G21" s="5">
        <v>0.88500000000000001</v>
      </c>
      <c r="H21" s="7">
        <f>0</f>
        <v>0</v>
      </c>
      <c r="I21" s="5">
        <v>3000</v>
      </c>
      <c r="J21" s="5">
        <v>1</v>
      </c>
      <c r="K21" s="5">
        <f>表3[[#This Row],[炮几率]]-0.01</f>
        <v>0.875</v>
      </c>
    </row>
    <row r="22" spans="1:13" x14ac:dyDescent="0.15">
      <c r="A22" s="5" t="str">
        <f t="shared" si="0"/>
        <v>250</v>
      </c>
      <c r="B22" s="5">
        <v>250</v>
      </c>
      <c r="C22" s="8">
        <v>480</v>
      </c>
      <c r="D22" s="5">
        <v>120</v>
      </c>
      <c r="E22" s="6" t="s">
        <v>27</v>
      </c>
      <c r="F22" s="5">
        <v>1</v>
      </c>
      <c r="G22" s="5">
        <v>0.88500000000000001</v>
      </c>
      <c r="H22" s="7">
        <f>0</f>
        <v>0</v>
      </c>
      <c r="I22" s="5">
        <v>3000</v>
      </c>
      <c r="J22" s="5">
        <v>1</v>
      </c>
      <c r="K22" s="5">
        <f>表3[[#This Row],[炮几率]]-0.01</f>
        <v>0.875</v>
      </c>
    </row>
    <row r="23" spans="1:13" x14ac:dyDescent="0.15">
      <c r="A23" s="5" t="str">
        <f t="shared" si="0"/>
        <v>300</v>
      </c>
      <c r="B23" s="5">
        <v>300</v>
      </c>
      <c r="C23" s="8">
        <v>520</v>
      </c>
      <c r="D23" s="5">
        <v>150</v>
      </c>
      <c r="E23" s="6" t="s">
        <v>27</v>
      </c>
      <c r="F23" s="5">
        <v>1</v>
      </c>
      <c r="G23" s="5">
        <v>0.88500000000000001</v>
      </c>
      <c r="H23" s="7">
        <f>0</f>
        <v>0</v>
      </c>
      <c r="I23" s="5">
        <v>3000</v>
      </c>
      <c r="J23" s="5">
        <v>1</v>
      </c>
      <c r="K23" s="5">
        <f>表3[[#This Row],[炮几率]]-0.01</f>
        <v>0.875</v>
      </c>
    </row>
    <row r="24" spans="1:13" x14ac:dyDescent="0.15">
      <c r="A24" s="5" t="str">
        <f t="shared" si="0"/>
        <v>350</v>
      </c>
      <c r="B24" s="5">
        <v>350</v>
      </c>
      <c r="C24" s="8">
        <v>560</v>
      </c>
      <c r="D24" s="5">
        <v>180</v>
      </c>
      <c r="E24" s="6" t="s">
        <v>27</v>
      </c>
      <c r="F24" s="5">
        <v>1</v>
      </c>
      <c r="G24" s="5">
        <v>0.88500000000000001</v>
      </c>
      <c r="H24" s="7">
        <f>0</f>
        <v>0</v>
      </c>
      <c r="I24" s="5">
        <v>3000</v>
      </c>
      <c r="J24" s="5">
        <v>1</v>
      </c>
      <c r="K24" s="5">
        <f>表3[[#This Row],[炮几率]]-0.01</f>
        <v>0.875</v>
      </c>
    </row>
    <row r="25" spans="1:13" x14ac:dyDescent="0.15">
      <c r="A25" s="5" t="str">
        <f t="shared" si="0"/>
        <v>400</v>
      </c>
      <c r="B25" s="5">
        <v>400</v>
      </c>
      <c r="C25" s="8">
        <v>600</v>
      </c>
      <c r="D25" s="5">
        <v>240</v>
      </c>
      <c r="E25" s="6" t="s">
        <v>27</v>
      </c>
      <c r="F25" s="5">
        <v>1</v>
      </c>
      <c r="G25" s="5">
        <v>0.88500000000000001</v>
      </c>
      <c r="H25" s="7">
        <f>0</f>
        <v>0</v>
      </c>
      <c r="I25" s="5">
        <v>3000</v>
      </c>
      <c r="J25" s="5">
        <v>1</v>
      </c>
      <c r="K25" s="5">
        <f>表3[[#This Row],[炮几率]]-0.01</f>
        <v>0.875</v>
      </c>
    </row>
    <row r="26" spans="1:13" x14ac:dyDescent="0.15">
      <c r="A26" s="5" t="str">
        <f t="shared" si="0"/>
        <v>450</v>
      </c>
      <c r="B26" s="5">
        <v>450</v>
      </c>
      <c r="C26" s="8">
        <v>640</v>
      </c>
      <c r="D26" s="5">
        <v>300</v>
      </c>
      <c r="E26" s="6" t="s">
        <v>27</v>
      </c>
      <c r="F26" s="5">
        <v>1</v>
      </c>
      <c r="G26" s="5">
        <v>0.88500000000000001</v>
      </c>
      <c r="H26" s="7">
        <f>0</f>
        <v>0</v>
      </c>
      <c r="I26" s="5">
        <v>3000</v>
      </c>
      <c r="J26" s="5">
        <v>1</v>
      </c>
      <c r="K26" s="5">
        <f>表3[[#This Row],[炮几率]]-0.01</f>
        <v>0.875</v>
      </c>
    </row>
    <row r="27" spans="1:13" x14ac:dyDescent="0.15">
      <c r="A27" s="5" t="str">
        <f t="shared" si="0"/>
        <v>500</v>
      </c>
      <c r="B27" s="5">
        <v>500</v>
      </c>
      <c r="C27" s="8">
        <v>680</v>
      </c>
      <c r="D27" s="5">
        <v>360</v>
      </c>
      <c r="E27" s="6" t="s">
        <v>27</v>
      </c>
      <c r="F27" s="5">
        <v>1</v>
      </c>
      <c r="G27" s="5">
        <v>0.88500000000000001</v>
      </c>
      <c r="H27" s="7">
        <f>0</f>
        <v>0</v>
      </c>
      <c r="I27" s="5">
        <v>3000</v>
      </c>
      <c r="J27" s="5">
        <v>1</v>
      </c>
      <c r="K27" s="5">
        <f>表3[[#This Row],[炮几率]]-0.01</f>
        <v>0.875</v>
      </c>
    </row>
    <row r="28" spans="1:13" x14ac:dyDescent="0.15">
      <c r="A28" s="5" t="str">
        <f t="shared" si="0"/>
        <v>550</v>
      </c>
      <c r="B28" s="5">
        <v>550</v>
      </c>
      <c r="C28" s="8">
        <v>720</v>
      </c>
      <c r="D28" s="5">
        <v>420</v>
      </c>
      <c r="E28" s="6" t="s">
        <v>27</v>
      </c>
      <c r="F28" s="5">
        <v>1</v>
      </c>
      <c r="G28" s="5">
        <v>0.88500000000000001</v>
      </c>
      <c r="H28" s="7">
        <f>0</f>
        <v>0</v>
      </c>
      <c r="I28" s="5">
        <v>3000</v>
      </c>
      <c r="J28" s="5">
        <v>1</v>
      </c>
      <c r="K28" s="5">
        <f>表3[[#This Row],[炮几率]]-0.01</f>
        <v>0.875</v>
      </c>
    </row>
    <row r="29" spans="1:13" x14ac:dyDescent="0.15">
      <c r="A29" s="5" t="str">
        <f t="shared" si="0"/>
        <v>600</v>
      </c>
      <c r="B29" s="5">
        <v>600</v>
      </c>
      <c r="C29" s="8">
        <v>760</v>
      </c>
      <c r="D29" s="5">
        <v>480</v>
      </c>
      <c r="E29" s="6" t="s">
        <v>27</v>
      </c>
      <c r="F29" s="5">
        <v>1</v>
      </c>
      <c r="G29" s="5">
        <v>0.88500000000000001</v>
      </c>
      <c r="H29" s="7">
        <f>0</f>
        <v>0</v>
      </c>
      <c r="I29" s="5">
        <v>3000</v>
      </c>
      <c r="J29" s="5">
        <v>1</v>
      </c>
      <c r="K29" s="5">
        <f>表3[[#This Row],[炮几率]]-0.01</f>
        <v>0.875</v>
      </c>
    </row>
    <row r="30" spans="1:13" x14ac:dyDescent="0.15">
      <c r="A30" s="5" t="str">
        <f t="shared" si="0"/>
        <v>650</v>
      </c>
      <c r="B30" s="5">
        <v>650</v>
      </c>
      <c r="C30" s="8">
        <v>840</v>
      </c>
      <c r="D30" s="5">
        <v>540</v>
      </c>
      <c r="E30" s="6" t="s">
        <v>27</v>
      </c>
      <c r="F30" s="5">
        <v>1</v>
      </c>
      <c r="G30" s="5">
        <v>0.88</v>
      </c>
      <c r="H30" s="7">
        <f>0</f>
        <v>0</v>
      </c>
      <c r="I30" s="5">
        <v>3000</v>
      </c>
      <c r="J30" s="5">
        <v>1</v>
      </c>
      <c r="K30" s="5">
        <f>表3[[#This Row],[炮几率]]-0.01</f>
        <v>0.87</v>
      </c>
    </row>
    <row r="31" spans="1:13" x14ac:dyDescent="0.15">
      <c r="A31" s="5" t="str">
        <f t="shared" si="0"/>
        <v>700</v>
      </c>
      <c r="B31" s="5">
        <v>700</v>
      </c>
      <c r="C31" s="8">
        <v>920</v>
      </c>
      <c r="D31" s="5">
        <v>600</v>
      </c>
      <c r="E31" s="6" t="s">
        <v>27</v>
      </c>
      <c r="F31" s="5">
        <v>1</v>
      </c>
      <c r="G31" s="5">
        <v>0.88</v>
      </c>
      <c r="H31" s="7">
        <f>0</f>
        <v>0</v>
      </c>
      <c r="I31" s="5">
        <v>3000</v>
      </c>
      <c r="J31" s="5">
        <v>1</v>
      </c>
      <c r="K31" s="5">
        <f>表3[[#This Row],[炮几率]]-0.01</f>
        <v>0.87</v>
      </c>
    </row>
    <row r="32" spans="1:13" x14ac:dyDescent="0.15">
      <c r="A32" s="5" t="str">
        <f t="shared" si="0"/>
        <v>750</v>
      </c>
      <c r="B32" s="5">
        <v>750</v>
      </c>
      <c r="C32" s="8">
        <v>1000</v>
      </c>
      <c r="D32" s="5">
        <v>750</v>
      </c>
      <c r="E32" s="6" t="s">
        <v>27</v>
      </c>
      <c r="F32" s="5">
        <v>1</v>
      </c>
      <c r="G32" s="5">
        <v>0.88</v>
      </c>
      <c r="H32" s="7">
        <f>0</f>
        <v>0</v>
      </c>
      <c r="I32" s="5">
        <v>3000</v>
      </c>
      <c r="J32" s="5">
        <v>1</v>
      </c>
      <c r="K32" s="5">
        <f>表3[[#This Row],[炮几率]]-0.01</f>
        <v>0.87</v>
      </c>
    </row>
    <row r="33" spans="1:11" x14ac:dyDescent="0.15">
      <c r="A33" s="5" t="str">
        <f t="shared" si="0"/>
        <v>800</v>
      </c>
      <c r="B33" s="5">
        <v>800</v>
      </c>
      <c r="C33" s="8">
        <v>1080</v>
      </c>
      <c r="D33" s="5">
        <v>900</v>
      </c>
      <c r="E33" s="6" t="s">
        <v>27</v>
      </c>
      <c r="F33" s="5">
        <v>1</v>
      </c>
      <c r="G33" s="5">
        <v>0.88</v>
      </c>
      <c r="H33" s="7">
        <f>0</f>
        <v>0</v>
      </c>
      <c r="I33" s="5">
        <v>3000</v>
      </c>
      <c r="J33" s="5">
        <v>1</v>
      </c>
      <c r="K33" s="5">
        <f>表3[[#This Row],[炮几率]]-0.01</f>
        <v>0.87</v>
      </c>
    </row>
    <row r="34" spans="1:11" x14ac:dyDescent="0.15">
      <c r="A34" s="5" t="str">
        <f t="shared" si="0"/>
        <v>850</v>
      </c>
      <c r="B34" s="5">
        <v>850</v>
      </c>
      <c r="C34" s="8">
        <v>1160</v>
      </c>
      <c r="D34" s="5">
        <v>1050</v>
      </c>
      <c r="E34" s="6" t="s">
        <v>27</v>
      </c>
      <c r="F34" s="5">
        <v>1</v>
      </c>
      <c r="G34" s="5">
        <v>0.88</v>
      </c>
      <c r="H34" s="7">
        <f>0</f>
        <v>0</v>
      </c>
      <c r="I34" s="5">
        <v>3000</v>
      </c>
      <c r="J34" s="5">
        <v>1</v>
      </c>
      <c r="K34" s="5">
        <f>表3[[#This Row],[炮几率]]-0.01</f>
        <v>0.87</v>
      </c>
    </row>
    <row r="35" spans="1:11" x14ac:dyDescent="0.15">
      <c r="A35" s="5" t="str">
        <f t="shared" si="0"/>
        <v>900</v>
      </c>
      <c r="B35" s="5">
        <v>900</v>
      </c>
      <c r="C35" s="8">
        <v>1240</v>
      </c>
      <c r="D35" s="5">
        <v>1200</v>
      </c>
      <c r="E35" s="6" t="s">
        <v>27</v>
      </c>
      <c r="F35" s="5">
        <v>1</v>
      </c>
      <c r="G35" s="5">
        <v>0.88</v>
      </c>
      <c r="H35" s="7">
        <f>0</f>
        <v>0</v>
      </c>
      <c r="I35" s="5">
        <v>3000</v>
      </c>
      <c r="J35" s="5">
        <v>1</v>
      </c>
      <c r="K35" s="5">
        <f>表3[[#This Row],[炮几率]]-0.01</f>
        <v>0.87</v>
      </c>
    </row>
    <row r="36" spans="1:11" x14ac:dyDescent="0.15">
      <c r="A36" s="5" t="str">
        <f t="shared" si="0"/>
        <v>950</v>
      </c>
      <c r="B36" s="5">
        <v>950</v>
      </c>
      <c r="C36" s="8">
        <v>1320</v>
      </c>
      <c r="D36" s="5">
        <v>1350</v>
      </c>
      <c r="E36" s="6" t="s">
        <v>27</v>
      </c>
      <c r="F36" s="5">
        <v>1</v>
      </c>
      <c r="G36" s="5">
        <v>0.88</v>
      </c>
      <c r="H36" s="7">
        <f>0</f>
        <v>0</v>
      </c>
      <c r="I36" s="5">
        <v>3000</v>
      </c>
      <c r="J36" s="5">
        <v>1</v>
      </c>
      <c r="K36" s="5">
        <f>表3[[#This Row],[炮几率]]-0.01</f>
        <v>0.87</v>
      </c>
    </row>
    <row r="37" spans="1:11" x14ac:dyDescent="0.15">
      <c r="A37" s="5" t="str">
        <f t="shared" si="0"/>
        <v>1000</v>
      </c>
      <c r="B37" s="5">
        <v>1000</v>
      </c>
      <c r="C37" s="8">
        <v>1400</v>
      </c>
      <c r="D37" s="5">
        <v>1500</v>
      </c>
      <c r="E37" s="6" t="s">
        <v>27</v>
      </c>
      <c r="F37" s="5">
        <v>1</v>
      </c>
      <c r="G37" s="5">
        <v>0.875</v>
      </c>
      <c r="H37" s="7">
        <f>0</f>
        <v>0</v>
      </c>
      <c r="I37" s="5">
        <v>3000</v>
      </c>
      <c r="J37" s="5">
        <v>1</v>
      </c>
      <c r="K37" s="5">
        <f>表3[[#This Row],[炮几率]]-0.01</f>
        <v>0.86499999999999999</v>
      </c>
    </row>
    <row r="38" spans="1:11" x14ac:dyDescent="0.15">
      <c r="A38" s="5" t="str">
        <f t="shared" si="0"/>
        <v>1100</v>
      </c>
      <c r="B38" s="5">
        <v>1100</v>
      </c>
      <c r="C38" s="8">
        <v>1600</v>
      </c>
      <c r="D38" s="5">
        <v>1500</v>
      </c>
      <c r="E38" s="6" t="s">
        <v>30</v>
      </c>
      <c r="F38" s="5">
        <v>1</v>
      </c>
      <c r="G38" s="5">
        <v>0.875</v>
      </c>
      <c r="H38" s="7">
        <f>0</f>
        <v>0</v>
      </c>
      <c r="I38" s="5">
        <v>3000</v>
      </c>
      <c r="J38" s="5">
        <v>1</v>
      </c>
      <c r="K38" s="5">
        <f>表3[[#This Row],[炮几率]]-0.01</f>
        <v>0.86499999999999999</v>
      </c>
    </row>
    <row r="39" spans="1:11" x14ac:dyDescent="0.15">
      <c r="A39" s="5" t="str">
        <f t="shared" si="0"/>
        <v>1200</v>
      </c>
      <c r="B39" s="5">
        <v>1200</v>
      </c>
      <c r="C39" s="8">
        <v>1800</v>
      </c>
      <c r="D39" s="5">
        <v>1500</v>
      </c>
      <c r="E39" s="6" t="s">
        <v>33</v>
      </c>
      <c r="F39" s="5">
        <v>0.95</v>
      </c>
      <c r="G39" s="5">
        <v>0.875</v>
      </c>
      <c r="H39" s="7">
        <f>0</f>
        <v>0</v>
      </c>
      <c r="I39" s="5">
        <v>3000</v>
      </c>
      <c r="J39" s="5">
        <v>1</v>
      </c>
      <c r="K39" s="5">
        <f>表3[[#This Row],[炮几率]]-0.01</f>
        <v>0.86499999999999999</v>
      </c>
    </row>
    <row r="40" spans="1:11" x14ac:dyDescent="0.15">
      <c r="A40" s="5" t="str">
        <f t="shared" si="0"/>
        <v>1300</v>
      </c>
      <c r="B40" s="5">
        <v>1300</v>
      </c>
      <c r="C40" s="8">
        <v>2000</v>
      </c>
      <c r="D40" s="5">
        <v>1500</v>
      </c>
      <c r="E40" s="6" t="s">
        <v>34</v>
      </c>
      <c r="F40" s="5">
        <v>0.9</v>
      </c>
      <c r="G40" s="5">
        <v>0.875</v>
      </c>
      <c r="H40" s="7">
        <f>0</f>
        <v>0</v>
      </c>
      <c r="I40" s="5">
        <v>3000</v>
      </c>
      <c r="J40" s="5">
        <v>1</v>
      </c>
      <c r="K40" s="5">
        <f>表3[[#This Row],[炮几率]]-0.01</f>
        <v>0.86499999999999999</v>
      </c>
    </row>
    <row r="41" spans="1:11" x14ac:dyDescent="0.15">
      <c r="A41" s="5" t="str">
        <f t="shared" si="0"/>
        <v>1400</v>
      </c>
      <c r="B41" s="5">
        <v>1400</v>
      </c>
      <c r="C41" s="8">
        <v>2200</v>
      </c>
      <c r="D41" s="5">
        <v>1500</v>
      </c>
      <c r="E41" s="6" t="s">
        <v>35</v>
      </c>
      <c r="F41" s="5">
        <v>0.85</v>
      </c>
      <c r="G41" s="5">
        <v>0.875</v>
      </c>
      <c r="H41" s="7">
        <f>0</f>
        <v>0</v>
      </c>
      <c r="I41" s="5">
        <v>3000</v>
      </c>
      <c r="J41" s="5">
        <v>1</v>
      </c>
      <c r="K41" s="5">
        <f>表3[[#This Row],[炮几率]]-0.01</f>
        <v>0.86499999999999999</v>
      </c>
    </row>
    <row r="42" spans="1:11" x14ac:dyDescent="0.15">
      <c r="A42" s="5" t="str">
        <f t="shared" si="0"/>
        <v>1500</v>
      </c>
      <c r="B42" s="5">
        <v>1500</v>
      </c>
      <c r="C42" s="8">
        <v>2400</v>
      </c>
      <c r="D42" s="5">
        <v>1500</v>
      </c>
      <c r="E42" s="6" t="s">
        <v>36</v>
      </c>
      <c r="F42" s="5">
        <v>0.8</v>
      </c>
      <c r="G42" s="5">
        <v>0.875</v>
      </c>
      <c r="H42" s="7">
        <f>0</f>
        <v>0</v>
      </c>
      <c r="I42" s="5">
        <v>3000</v>
      </c>
      <c r="J42" s="5">
        <v>1</v>
      </c>
      <c r="K42" s="5">
        <f>表3[[#This Row],[炮几率]]-0.01</f>
        <v>0.86499999999999999</v>
      </c>
    </row>
    <row r="43" spans="1:11" x14ac:dyDescent="0.15">
      <c r="A43" s="5" t="str">
        <f t="shared" ref="A43:A59" si="1">""&amp;B43</f>
        <v>2000</v>
      </c>
      <c r="B43" s="5">
        <v>2000</v>
      </c>
      <c r="C43" s="8">
        <v>2600</v>
      </c>
      <c r="D43" s="5">
        <v>1500</v>
      </c>
      <c r="E43" s="6" t="s">
        <v>37</v>
      </c>
      <c r="F43" s="5">
        <v>0.79</v>
      </c>
      <c r="G43" s="5">
        <v>0.87</v>
      </c>
      <c r="H43" s="7">
        <f>0</f>
        <v>0</v>
      </c>
      <c r="I43" s="5">
        <v>3000</v>
      </c>
      <c r="J43" s="5">
        <v>1</v>
      </c>
      <c r="K43" s="5">
        <f>表3[[#This Row],[炮几率]]-0.01</f>
        <v>0.86</v>
      </c>
    </row>
    <row r="44" spans="1:11" x14ac:dyDescent="0.15">
      <c r="A44" s="5" t="str">
        <f t="shared" si="1"/>
        <v>2500</v>
      </c>
      <c r="B44" s="5">
        <v>2500</v>
      </c>
      <c r="C44" s="8">
        <v>2800</v>
      </c>
      <c r="D44" s="5">
        <v>1500</v>
      </c>
      <c r="E44" s="6" t="s">
        <v>38</v>
      </c>
      <c r="F44" s="5">
        <v>0.78</v>
      </c>
      <c r="G44" s="5">
        <v>0.87</v>
      </c>
      <c r="H44" s="7">
        <f>0</f>
        <v>0</v>
      </c>
      <c r="I44" s="5">
        <v>3000</v>
      </c>
      <c r="J44" s="5">
        <v>1</v>
      </c>
      <c r="K44" s="5">
        <f>表3[[#This Row],[炮几率]]-0.01</f>
        <v>0.86</v>
      </c>
    </row>
    <row r="45" spans="1:11" x14ac:dyDescent="0.15">
      <c r="A45" s="5" t="str">
        <f t="shared" si="1"/>
        <v>3000</v>
      </c>
      <c r="B45" s="5">
        <v>3000</v>
      </c>
      <c r="C45" s="8">
        <v>3000</v>
      </c>
      <c r="D45" s="5">
        <v>1500</v>
      </c>
      <c r="E45" s="6" t="s">
        <v>39</v>
      </c>
      <c r="F45" s="5">
        <v>0.77</v>
      </c>
      <c r="G45" s="5">
        <v>0.87</v>
      </c>
      <c r="H45" s="7">
        <f>0</f>
        <v>0</v>
      </c>
      <c r="I45" s="5">
        <v>3000</v>
      </c>
      <c r="J45" s="5">
        <v>1</v>
      </c>
      <c r="K45" s="5">
        <f>表3[[#This Row],[炮几率]]-0.01</f>
        <v>0.86</v>
      </c>
    </row>
    <row r="46" spans="1:11" x14ac:dyDescent="0.15">
      <c r="A46" s="5" t="str">
        <f t="shared" si="1"/>
        <v>3500</v>
      </c>
      <c r="B46" s="5">
        <v>3500</v>
      </c>
      <c r="C46" s="8">
        <v>3200</v>
      </c>
      <c r="D46" s="5">
        <v>1500</v>
      </c>
      <c r="E46" s="6" t="s">
        <v>40</v>
      </c>
      <c r="F46" s="5">
        <v>0.76</v>
      </c>
      <c r="G46" s="5">
        <v>0.87</v>
      </c>
      <c r="H46" s="7">
        <f>0</f>
        <v>0</v>
      </c>
      <c r="I46" s="5">
        <v>3000</v>
      </c>
      <c r="J46" s="5">
        <v>1</v>
      </c>
      <c r="K46" s="5">
        <f>表3[[#This Row],[炮几率]]-0.01</f>
        <v>0.86</v>
      </c>
    </row>
    <row r="47" spans="1:11" x14ac:dyDescent="0.15">
      <c r="A47" s="5" t="str">
        <f t="shared" si="1"/>
        <v>4000</v>
      </c>
      <c r="B47" s="5">
        <v>4000</v>
      </c>
      <c r="C47" s="8">
        <v>3400</v>
      </c>
      <c r="D47" s="5">
        <v>1500</v>
      </c>
      <c r="E47" s="6" t="s">
        <v>41</v>
      </c>
      <c r="F47" s="5">
        <v>0.75</v>
      </c>
      <c r="G47" s="5">
        <v>0.87</v>
      </c>
      <c r="H47" s="7">
        <f>0</f>
        <v>0</v>
      </c>
      <c r="I47" s="5">
        <v>3000</v>
      </c>
      <c r="J47" s="5">
        <v>1</v>
      </c>
      <c r="K47" s="5">
        <f>表3[[#This Row],[炮几率]]-0.01</f>
        <v>0.86</v>
      </c>
    </row>
    <row r="48" spans="1:11" x14ac:dyDescent="0.15">
      <c r="A48" s="5" t="str">
        <f t="shared" si="1"/>
        <v>4500</v>
      </c>
      <c r="B48" s="5">
        <v>4500</v>
      </c>
      <c r="C48" s="8">
        <v>3600</v>
      </c>
      <c r="D48" s="5">
        <v>1500</v>
      </c>
      <c r="E48" s="6" t="s">
        <v>42</v>
      </c>
      <c r="F48" s="5">
        <v>0.74</v>
      </c>
      <c r="G48" s="5">
        <v>0.87</v>
      </c>
      <c r="H48" s="7">
        <f>0</f>
        <v>0</v>
      </c>
      <c r="I48" s="5">
        <v>3000</v>
      </c>
      <c r="J48" s="5">
        <v>1</v>
      </c>
      <c r="K48" s="5">
        <f>表3[[#This Row],[炮几率]]-0.01</f>
        <v>0.86</v>
      </c>
    </row>
    <row r="49" spans="1:11" x14ac:dyDescent="0.15">
      <c r="A49" s="5" t="str">
        <f t="shared" si="1"/>
        <v>5000</v>
      </c>
      <c r="B49" s="5">
        <v>5000</v>
      </c>
      <c r="C49" s="8">
        <v>3800</v>
      </c>
      <c r="D49" s="5">
        <v>1500</v>
      </c>
      <c r="E49" s="6" t="s">
        <v>43</v>
      </c>
      <c r="F49" s="5">
        <v>0.73</v>
      </c>
      <c r="G49" s="5">
        <v>0.87</v>
      </c>
      <c r="H49" s="7">
        <f>0</f>
        <v>0</v>
      </c>
      <c r="I49" s="5">
        <v>3000</v>
      </c>
      <c r="J49" s="5">
        <v>1</v>
      </c>
      <c r="K49" s="5">
        <f>表3[[#This Row],[炮几率]]-0.01</f>
        <v>0.86</v>
      </c>
    </row>
    <row r="50" spans="1:11" x14ac:dyDescent="0.15">
      <c r="A50" s="5" t="str">
        <f t="shared" si="1"/>
        <v>6000</v>
      </c>
      <c r="B50" s="5">
        <v>6000</v>
      </c>
      <c r="C50" s="8">
        <v>4000</v>
      </c>
      <c r="D50" s="5">
        <v>1500</v>
      </c>
      <c r="E50" s="6" t="s">
        <v>53</v>
      </c>
      <c r="F50" s="5">
        <v>0.72</v>
      </c>
      <c r="G50" s="5">
        <v>0.87</v>
      </c>
      <c r="H50" s="7">
        <f>0</f>
        <v>0</v>
      </c>
      <c r="I50" s="5">
        <v>3000</v>
      </c>
      <c r="J50" s="5">
        <v>1</v>
      </c>
      <c r="K50" s="5">
        <f>表3[[#This Row],[炮几率]]-0.01</f>
        <v>0.86</v>
      </c>
    </row>
    <row r="51" spans="1:11" x14ac:dyDescent="0.15">
      <c r="A51" s="5" t="str">
        <f t="shared" si="1"/>
        <v>7000</v>
      </c>
      <c r="B51" s="5">
        <v>7000</v>
      </c>
      <c r="C51" s="8">
        <v>4200</v>
      </c>
      <c r="D51" s="5">
        <v>1500</v>
      </c>
      <c r="E51" s="6" t="s">
        <v>52</v>
      </c>
      <c r="F51" s="5">
        <v>0.71</v>
      </c>
      <c r="G51" s="5">
        <v>0.87</v>
      </c>
      <c r="H51" s="7">
        <f>0</f>
        <v>0</v>
      </c>
      <c r="I51" s="5">
        <v>3000</v>
      </c>
      <c r="J51" s="5">
        <v>1</v>
      </c>
      <c r="K51" s="5">
        <f>表3[[#This Row],[炮几率]]-0.01</f>
        <v>0.86</v>
      </c>
    </row>
    <row r="52" spans="1:11" x14ac:dyDescent="0.15">
      <c r="A52" s="5" t="str">
        <f t="shared" si="1"/>
        <v>8000</v>
      </c>
      <c r="B52" s="5">
        <v>8000</v>
      </c>
      <c r="C52" s="8">
        <v>4400</v>
      </c>
      <c r="D52" s="5">
        <v>1500</v>
      </c>
      <c r="E52" s="6" t="s">
        <v>51</v>
      </c>
      <c r="F52" s="5">
        <v>0.7</v>
      </c>
      <c r="G52" s="5">
        <v>0.87</v>
      </c>
      <c r="H52" s="7">
        <f>0</f>
        <v>0</v>
      </c>
      <c r="I52" s="5">
        <v>3000</v>
      </c>
      <c r="J52" s="5">
        <v>1</v>
      </c>
      <c r="K52" s="5">
        <f>表3[[#This Row],[炮几率]]-0.01</f>
        <v>0.86</v>
      </c>
    </row>
    <row r="53" spans="1:11" x14ac:dyDescent="0.15">
      <c r="A53" s="5" t="str">
        <f t="shared" si="1"/>
        <v>9000</v>
      </c>
      <c r="B53" s="5">
        <v>9000</v>
      </c>
      <c r="C53" s="8">
        <v>4600</v>
      </c>
      <c r="D53" s="5">
        <v>1575</v>
      </c>
      <c r="E53" s="6" t="s">
        <v>50</v>
      </c>
      <c r="F53" s="5">
        <v>0.69</v>
      </c>
      <c r="G53" s="5">
        <v>0.87</v>
      </c>
      <c r="H53" s="7">
        <f>0</f>
        <v>0</v>
      </c>
      <c r="I53" s="5">
        <v>3000</v>
      </c>
      <c r="J53" s="5">
        <v>1</v>
      </c>
      <c r="K53" s="5">
        <f>表3[[#This Row],[炮几率]]-0.01</f>
        <v>0.86</v>
      </c>
    </row>
    <row r="54" spans="1:11" x14ac:dyDescent="0.15">
      <c r="A54" s="5" t="str">
        <f t="shared" si="1"/>
        <v>10000</v>
      </c>
      <c r="B54" s="5">
        <v>10000</v>
      </c>
      <c r="C54" s="8">
        <v>4800</v>
      </c>
      <c r="D54" s="5">
        <v>1650</v>
      </c>
      <c r="E54" s="6" t="s">
        <v>65</v>
      </c>
      <c r="F54" s="5">
        <v>0.68</v>
      </c>
      <c r="G54" s="5">
        <v>0.86499999999999999</v>
      </c>
      <c r="H54" s="7">
        <f>0</f>
        <v>0</v>
      </c>
      <c r="I54" s="5">
        <v>3000</v>
      </c>
      <c r="J54" s="5">
        <v>1</v>
      </c>
      <c r="K54" s="5">
        <f>表3[[#This Row],[炮几率]]-0.01</f>
        <v>0.85499999999999998</v>
      </c>
    </row>
    <row r="55" spans="1:11" x14ac:dyDescent="0.15">
      <c r="A55" s="5" t="str">
        <f t="shared" si="1"/>
        <v>11000</v>
      </c>
      <c r="B55" s="5">
        <v>11000</v>
      </c>
      <c r="C55" s="8">
        <v>5000</v>
      </c>
      <c r="D55" s="5">
        <v>1800</v>
      </c>
      <c r="E55" s="6" t="s">
        <v>49</v>
      </c>
      <c r="F55" s="5">
        <v>0.67</v>
      </c>
      <c r="G55" s="5">
        <v>0.86499999999999999</v>
      </c>
      <c r="H55" s="7">
        <f>0</f>
        <v>0</v>
      </c>
      <c r="I55" s="5">
        <v>3000</v>
      </c>
      <c r="J55" s="5">
        <v>1</v>
      </c>
      <c r="K55" s="5">
        <f>表3[[#This Row],[炮几率]]-0.01</f>
        <v>0.85499999999999998</v>
      </c>
    </row>
    <row r="56" spans="1:11" x14ac:dyDescent="0.15">
      <c r="A56" s="5" t="str">
        <f t="shared" si="1"/>
        <v>12000</v>
      </c>
      <c r="B56" s="5">
        <v>12000</v>
      </c>
      <c r="C56" s="8">
        <v>5200</v>
      </c>
      <c r="D56" s="5">
        <v>1800</v>
      </c>
      <c r="E56" s="6" t="s">
        <v>64</v>
      </c>
      <c r="F56" s="5">
        <v>0.66</v>
      </c>
      <c r="G56" s="5">
        <v>0.86499999999999999</v>
      </c>
      <c r="H56" s="7">
        <f>0</f>
        <v>0</v>
      </c>
      <c r="I56" s="5">
        <v>3000</v>
      </c>
      <c r="J56" s="5">
        <v>1</v>
      </c>
      <c r="K56" s="5">
        <f>表3[[#This Row],[炮几率]]-0.01</f>
        <v>0.85499999999999998</v>
      </c>
    </row>
    <row r="57" spans="1:11" x14ac:dyDescent="0.15">
      <c r="A57" s="5" t="str">
        <f t="shared" si="1"/>
        <v>13000</v>
      </c>
      <c r="B57" s="5">
        <v>13000</v>
      </c>
      <c r="C57" s="8">
        <v>5400</v>
      </c>
      <c r="D57" s="5">
        <v>1800</v>
      </c>
      <c r="E57" s="6" t="s">
        <v>63</v>
      </c>
      <c r="F57" s="5">
        <v>0.65</v>
      </c>
      <c r="G57" s="5">
        <v>0.86499999999999999</v>
      </c>
      <c r="H57" s="7">
        <f>0</f>
        <v>0</v>
      </c>
      <c r="I57" s="5">
        <v>3000</v>
      </c>
      <c r="J57" s="5">
        <v>1</v>
      </c>
      <c r="K57" s="5">
        <f>表3[[#This Row],[炮几率]]-0.01</f>
        <v>0.85499999999999998</v>
      </c>
    </row>
    <row r="58" spans="1:11" x14ac:dyDescent="0.15">
      <c r="A58" s="5" t="str">
        <f t="shared" si="1"/>
        <v>14000</v>
      </c>
      <c r="B58" s="5">
        <v>14000</v>
      </c>
      <c r="C58" s="8">
        <v>5600</v>
      </c>
      <c r="D58" s="5">
        <v>1800</v>
      </c>
      <c r="E58" s="6" t="s">
        <v>62</v>
      </c>
      <c r="F58" s="5">
        <v>0.64</v>
      </c>
      <c r="G58" s="5">
        <v>0.86499999999999999</v>
      </c>
      <c r="H58" s="7">
        <f>0</f>
        <v>0</v>
      </c>
      <c r="I58" s="5">
        <v>3000</v>
      </c>
      <c r="J58" s="5">
        <v>1</v>
      </c>
      <c r="K58" s="5">
        <f>表3[[#This Row],[炮几率]]-0.01</f>
        <v>0.85499999999999998</v>
      </c>
    </row>
    <row r="59" spans="1:11" x14ac:dyDescent="0.15">
      <c r="A59" s="5" t="str">
        <f t="shared" si="1"/>
        <v>15000</v>
      </c>
      <c r="B59" s="5">
        <v>15000</v>
      </c>
      <c r="C59" s="8">
        <v>5800</v>
      </c>
      <c r="D59" s="5">
        <v>1800</v>
      </c>
      <c r="E59" s="6" t="s">
        <v>61</v>
      </c>
      <c r="F59" s="5">
        <v>0.63</v>
      </c>
      <c r="G59" s="5">
        <v>0.86499999999999999</v>
      </c>
      <c r="H59" s="7">
        <f>0</f>
        <v>0</v>
      </c>
      <c r="I59" s="5">
        <v>3000</v>
      </c>
      <c r="J59" s="5">
        <v>1</v>
      </c>
      <c r="K59" s="5">
        <f>表3[[#This Row],[炮几率]]-0.01</f>
        <v>0.85499999999999998</v>
      </c>
    </row>
    <row r="60" spans="1:11" x14ac:dyDescent="0.15">
      <c r="A60" s="5" t="str">
        <f t="shared" ref="A60:A64" si="2">""&amp;B60</f>
        <v>20000</v>
      </c>
      <c r="B60" s="5">
        <v>20000</v>
      </c>
      <c r="C60" s="8">
        <v>6000</v>
      </c>
      <c r="D60" s="5">
        <v>1800</v>
      </c>
      <c r="E60" s="6" t="s">
        <v>48</v>
      </c>
      <c r="F60" s="5">
        <v>0.62</v>
      </c>
      <c r="G60" s="5">
        <v>0.86499999999999999</v>
      </c>
      <c r="H60" s="7">
        <f>0</f>
        <v>0</v>
      </c>
      <c r="I60" s="5">
        <v>3000</v>
      </c>
      <c r="J60" s="5">
        <v>1</v>
      </c>
      <c r="K60" s="5">
        <f>表3[[#This Row],[炮几率]]-0.01</f>
        <v>0.85499999999999998</v>
      </c>
    </row>
    <row r="61" spans="1:11" x14ac:dyDescent="0.15">
      <c r="A61" s="5" t="str">
        <f t="shared" si="2"/>
        <v>25000</v>
      </c>
      <c r="B61" s="5">
        <v>25000</v>
      </c>
      <c r="C61" s="8">
        <v>6200</v>
      </c>
      <c r="D61" s="5">
        <v>1800</v>
      </c>
      <c r="E61" s="6" t="s">
        <v>47</v>
      </c>
      <c r="F61" s="5">
        <v>0.61</v>
      </c>
      <c r="G61" s="5">
        <v>0.86499999999999999</v>
      </c>
      <c r="H61" s="7">
        <f>0</f>
        <v>0</v>
      </c>
      <c r="I61" s="5">
        <v>3000</v>
      </c>
      <c r="J61" s="5">
        <v>1</v>
      </c>
      <c r="K61" s="5">
        <f>表3[[#This Row],[炮几率]]-0.01</f>
        <v>0.85499999999999998</v>
      </c>
    </row>
    <row r="62" spans="1:11" x14ac:dyDescent="0.15">
      <c r="A62" s="5" t="str">
        <f t="shared" si="2"/>
        <v>30000</v>
      </c>
      <c r="B62" s="5">
        <v>30000</v>
      </c>
      <c r="C62" s="8">
        <v>6400</v>
      </c>
      <c r="D62" s="5">
        <v>1800</v>
      </c>
      <c r="E62" s="6" t="s">
        <v>46</v>
      </c>
      <c r="F62" s="5">
        <v>0.6</v>
      </c>
      <c r="G62" s="5">
        <v>0.86499999999999999</v>
      </c>
      <c r="H62" s="7">
        <f>0</f>
        <v>0</v>
      </c>
      <c r="I62" s="5">
        <v>3000</v>
      </c>
      <c r="J62" s="5">
        <v>1</v>
      </c>
      <c r="K62" s="5">
        <f>表3[[#This Row],[炮几率]]-0.01</f>
        <v>0.85499999999999998</v>
      </c>
    </row>
    <row r="63" spans="1:11" x14ac:dyDescent="0.15">
      <c r="A63" s="5" t="str">
        <f t="shared" si="2"/>
        <v>35000</v>
      </c>
      <c r="B63" s="5">
        <v>35000</v>
      </c>
      <c r="C63" s="8">
        <v>6600</v>
      </c>
      <c r="D63" s="5">
        <v>1800</v>
      </c>
      <c r="E63" s="6" t="s">
        <v>45</v>
      </c>
      <c r="F63" s="5">
        <v>0.59</v>
      </c>
      <c r="G63" s="5">
        <v>0.86499999999999999</v>
      </c>
      <c r="H63" s="7">
        <f>0</f>
        <v>0</v>
      </c>
      <c r="I63" s="5">
        <v>3000</v>
      </c>
      <c r="J63" s="5">
        <v>1</v>
      </c>
      <c r="K63" s="5">
        <f>表3[[#This Row],[炮几率]]-0.01</f>
        <v>0.85499999999999998</v>
      </c>
    </row>
    <row r="64" spans="1:11" x14ac:dyDescent="0.15">
      <c r="A64" s="5" t="str">
        <f t="shared" si="2"/>
        <v>40000</v>
      </c>
      <c r="B64" s="5">
        <v>40000</v>
      </c>
      <c r="C64" s="8">
        <v>6800</v>
      </c>
      <c r="D64" s="5">
        <v>1800</v>
      </c>
      <c r="E64" s="6" t="s">
        <v>44</v>
      </c>
      <c r="F64" s="5">
        <v>0.57999999999999996</v>
      </c>
      <c r="G64" s="5">
        <v>0.86499999999999999</v>
      </c>
      <c r="H64" s="7">
        <f>0</f>
        <v>0</v>
      </c>
      <c r="I64" s="5">
        <v>3000</v>
      </c>
      <c r="J64" s="5">
        <v>1</v>
      </c>
      <c r="K64" s="5">
        <f>表3[[#This Row],[炮几率]]-0.01</f>
        <v>0.85499999999999998</v>
      </c>
    </row>
    <row r="65" spans="1:11" x14ac:dyDescent="0.15">
      <c r="A65" s="5" t="str">
        <f t="shared" ref="A65:A68" si="3">""&amp;B65</f>
        <v>45000</v>
      </c>
      <c r="B65" s="5">
        <v>45000</v>
      </c>
      <c r="C65" s="8">
        <v>7000</v>
      </c>
      <c r="D65" s="5">
        <v>1800</v>
      </c>
      <c r="E65" s="6" t="s">
        <v>60</v>
      </c>
      <c r="F65" s="5">
        <v>0.56999999999999995</v>
      </c>
      <c r="G65" s="5">
        <v>0.86499999999999999</v>
      </c>
      <c r="H65" s="7">
        <f>0</f>
        <v>0</v>
      </c>
      <c r="I65" s="5">
        <v>3000</v>
      </c>
      <c r="J65" s="5">
        <v>1</v>
      </c>
      <c r="K65" s="5">
        <f>表3[[#This Row],[炮几率]]-0.01</f>
        <v>0.85499999999999998</v>
      </c>
    </row>
    <row r="66" spans="1:11" x14ac:dyDescent="0.15">
      <c r="A66" s="5" t="str">
        <f t="shared" si="3"/>
        <v>50000</v>
      </c>
      <c r="B66" s="5">
        <v>50000</v>
      </c>
      <c r="C66" s="8">
        <v>7200</v>
      </c>
      <c r="D66" s="5">
        <v>1800</v>
      </c>
      <c r="E66" s="6" t="s">
        <v>59</v>
      </c>
      <c r="F66" s="5">
        <v>0.56000000000000005</v>
      </c>
      <c r="G66" s="5">
        <v>0.86499999999999999</v>
      </c>
      <c r="H66" s="7">
        <f>0</f>
        <v>0</v>
      </c>
      <c r="I66" s="5">
        <v>3000</v>
      </c>
      <c r="J66" s="5">
        <v>1</v>
      </c>
      <c r="K66" s="5">
        <f>表3[[#This Row],[炮几率]]-0.01</f>
        <v>0.85499999999999998</v>
      </c>
    </row>
    <row r="67" spans="1:11" x14ac:dyDescent="0.15">
      <c r="A67" s="5" t="str">
        <f t="shared" si="3"/>
        <v>60000</v>
      </c>
      <c r="B67" s="5">
        <v>60000</v>
      </c>
      <c r="C67" s="8">
        <v>7400</v>
      </c>
      <c r="D67" s="5">
        <v>1800</v>
      </c>
      <c r="E67" s="6" t="s">
        <v>58</v>
      </c>
      <c r="F67" s="5">
        <v>0.55000000000000004</v>
      </c>
      <c r="G67" s="5">
        <v>0.86499999999999999</v>
      </c>
      <c r="H67" s="7">
        <f>0</f>
        <v>0</v>
      </c>
      <c r="I67" s="5">
        <v>3000</v>
      </c>
      <c r="J67" s="5">
        <v>1</v>
      </c>
      <c r="K67" s="5">
        <f>表3[[#This Row],[炮几率]]-0.01</f>
        <v>0.85499999999999998</v>
      </c>
    </row>
    <row r="68" spans="1:11" x14ac:dyDescent="0.15">
      <c r="A68" s="5" t="str">
        <f t="shared" si="3"/>
        <v>70000</v>
      </c>
      <c r="B68" s="5">
        <v>70000</v>
      </c>
      <c r="C68" s="8">
        <v>7600</v>
      </c>
      <c r="D68" s="5">
        <v>1800</v>
      </c>
      <c r="E68" s="6" t="s">
        <v>57</v>
      </c>
      <c r="F68" s="5">
        <v>0.54</v>
      </c>
      <c r="G68" s="5">
        <v>0.86499999999999999</v>
      </c>
      <c r="H68" s="7">
        <f>0</f>
        <v>0</v>
      </c>
      <c r="I68" s="5">
        <v>3000</v>
      </c>
      <c r="J68" s="5">
        <v>1</v>
      </c>
      <c r="K68" s="5">
        <f>表3[[#This Row],[炮几率]]-0.01</f>
        <v>0.85499999999999998</v>
      </c>
    </row>
    <row r="69" spans="1:11" x14ac:dyDescent="0.15">
      <c r="A69" s="5" t="str">
        <f t="shared" ref="A69:A71" si="4">""&amp;B69</f>
        <v>80000</v>
      </c>
      <c r="B69" s="5">
        <v>80000</v>
      </c>
      <c r="C69" s="8">
        <v>7800</v>
      </c>
      <c r="D69" s="5">
        <v>1800</v>
      </c>
      <c r="E69" s="6" t="s">
        <v>56</v>
      </c>
      <c r="F69" s="5">
        <v>0.53</v>
      </c>
      <c r="G69" s="5">
        <v>0.86499999999999999</v>
      </c>
      <c r="H69" s="7">
        <f>0</f>
        <v>0</v>
      </c>
      <c r="I69" s="5">
        <v>3000</v>
      </c>
      <c r="J69" s="5">
        <v>1</v>
      </c>
      <c r="K69" s="5">
        <f>表3[[#This Row],[炮几率]]-0.01</f>
        <v>0.85499999999999998</v>
      </c>
    </row>
    <row r="70" spans="1:11" x14ac:dyDescent="0.15">
      <c r="A70" s="5" t="str">
        <f t="shared" si="4"/>
        <v>90000</v>
      </c>
      <c r="B70" s="5">
        <v>90000</v>
      </c>
      <c r="C70" s="8">
        <v>8000</v>
      </c>
      <c r="D70" s="5">
        <v>1800</v>
      </c>
      <c r="E70" s="6" t="s">
        <v>55</v>
      </c>
      <c r="F70" s="5">
        <v>0.52</v>
      </c>
      <c r="G70" s="5">
        <v>0.86499999999999999</v>
      </c>
      <c r="H70" s="7">
        <f>0</f>
        <v>0</v>
      </c>
      <c r="I70" s="5">
        <v>3000</v>
      </c>
      <c r="J70" s="5">
        <v>1</v>
      </c>
      <c r="K70" s="5">
        <f>表3[[#This Row],[炮几率]]-0.01</f>
        <v>0.85499999999999998</v>
      </c>
    </row>
    <row r="71" spans="1:11" x14ac:dyDescent="0.15">
      <c r="A71" s="5" t="str">
        <f t="shared" si="4"/>
        <v>100000</v>
      </c>
      <c r="B71" s="5">
        <v>100000</v>
      </c>
      <c r="C71" s="8">
        <v>8200</v>
      </c>
      <c r="D71" s="5">
        <v>1800</v>
      </c>
      <c r="E71" s="6" t="s">
        <v>54</v>
      </c>
      <c r="F71" s="5">
        <v>0.51</v>
      </c>
      <c r="G71" s="5">
        <v>0.86499999999999999</v>
      </c>
      <c r="H71" s="7">
        <f>0</f>
        <v>0</v>
      </c>
      <c r="I71" s="5">
        <v>3000</v>
      </c>
      <c r="J71" s="5">
        <v>1</v>
      </c>
      <c r="K71" s="5">
        <f>表3[[#This Row],[炮几率]]-0.01</f>
        <v>0.85499999999999998</v>
      </c>
    </row>
  </sheetData>
  <phoneticPr fontId="4" type="noConversion"/>
  <dataValidations count="2">
    <dataValidation allowBlank="1" showInputMessage="1" showErrorMessage="1" promptTitle="预留字段——————————————————————" prompt="不希望用等级来卡，但不排除以后增加此条件" sqref="H4" xr:uid="{00000000-0002-0000-0200-000000000000}"/>
    <dataValidation allowBlank="1" showInputMessage="1" showErrorMessage="1" promptTitle="版本&quot;,&quot;分割————————————" prompt="如果是所有版本，则填ALL" sqref="B1" xr:uid="{1C28CE19-5DFE-4D55-ACB4-5709AEE2864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2018-05-15T10:25:31Z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