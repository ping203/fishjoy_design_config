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6090264-8F9C-4347-B99F-02661DED8FD2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28" i="2" l="1"/>
  <c r="M135" i="2"/>
  <c r="M122" i="2"/>
  <c r="M124" i="2"/>
  <c r="L135" i="2"/>
  <c r="L128" i="2"/>
  <c r="L124" i="2"/>
  <c r="L122" i="2"/>
  <c r="M131" i="2"/>
  <c r="M138" i="2"/>
  <c r="M127" i="2"/>
  <c r="M134" i="2"/>
  <c r="M123" i="2"/>
  <c r="M121" i="2"/>
  <c r="L131" i="2"/>
  <c r="L138" i="2"/>
  <c r="L127" i="2"/>
  <c r="L134" i="2"/>
  <c r="L121" i="2"/>
  <c r="L123" i="2"/>
  <c r="M137" i="2"/>
  <c r="M130" i="2"/>
  <c r="M126" i="2"/>
  <c r="M133" i="2"/>
  <c r="L137" i="2"/>
  <c r="L130" i="2"/>
  <c r="L133" i="2"/>
  <c r="L126" i="2"/>
  <c r="M129" i="2"/>
  <c r="M136" i="2"/>
  <c r="M132" i="2"/>
  <c r="M125" i="2"/>
  <c r="L129" i="2"/>
  <c r="L136" i="2"/>
  <c r="L125" i="2"/>
  <c r="L132" i="2"/>
</calcChain>
</file>

<file path=xl/sharedStrings.xml><?xml version="1.0" encoding="utf-8"?>
<sst xmlns="http://schemas.openxmlformats.org/spreadsheetml/2006/main" count="774" uniqueCount="695">
  <si>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</si>
  <si>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</si>
  <si>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</si>
  <si>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</si>
  <si>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</si>
  <si>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</si>
  <si>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</si>
  <si>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</si>
  <si>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</si>
  <si>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</si>
  <si>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</si>
  <si>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name</t>
  </si>
  <si>
    <t>unexport</t>
  </si>
  <si>
    <t>string</t>
  </si>
  <si>
    <t>描述</t>
  </si>
  <si>
    <t>item_key</t>
  </si>
  <si>
    <t>description</t>
  </si>
  <si>
    <t>type</t>
  </si>
  <si>
    <t>id</t>
  </si>
  <si>
    <t>saleprice</t>
  </si>
  <si>
    <t>dropid</t>
  </si>
  <si>
    <t>level</t>
  </si>
  <si>
    <t>icon</t>
  </si>
  <si>
    <t>int</t>
  </si>
  <si>
    <t>物品名称</t>
  </si>
  <si>
    <t>物品描述</t>
  </si>
  <si>
    <t>该类型对应id，-1无意义</t>
  </si>
  <si>
    <t>售价金币</t>
  </si>
  <si>
    <t>奖励id</t>
  </si>
  <si>
    <t>需要等级</t>
  </si>
  <si>
    <t>显示图标</t>
  </si>
  <si>
    <t>名称</t>
  </si>
  <si>
    <t>i000</t>
  </si>
  <si>
    <t>gold3</t>
  </si>
  <si>
    <t>i001</t>
  </si>
  <si>
    <t>i002</t>
  </si>
  <si>
    <t>zuanshi</t>
  </si>
  <si>
    <t>i011</t>
  </si>
  <si>
    <t>skill_02</t>
  </si>
  <si>
    <t>i012</t>
  </si>
  <si>
    <t>skill_01</t>
  </si>
  <si>
    <t>i013</t>
  </si>
  <si>
    <t>skill_04</t>
  </si>
  <si>
    <t>i014</t>
  </si>
  <si>
    <t>skill_03</t>
  </si>
  <si>
    <t>i015</t>
  </si>
  <si>
    <t>hedan1</t>
  </si>
  <si>
    <t>i016</t>
  </si>
  <si>
    <t>hedan2</t>
  </si>
  <si>
    <t>i017</t>
  </si>
  <si>
    <t>hedan3</t>
  </si>
  <si>
    <t>i051</t>
  </si>
  <si>
    <t>i101</t>
  </si>
  <si>
    <t>i102</t>
  </si>
  <si>
    <t>huoyueduicon</t>
  </si>
  <si>
    <t>i103</t>
  </si>
  <si>
    <t>item_01</t>
  </si>
  <si>
    <t>i110</t>
  </si>
  <si>
    <t>coincatch</t>
  </si>
  <si>
    <t>i111</t>
  </si>
  <si>
    <t>crazyfugu</t>
  </si>
  <si>
    <t>i200</t>
  </si>
  <si>
    <t>100wanbb</t>
  </si>
  <si>
    <t>i210</t>
  </si>
  <si>
    <t>1wjbkicon</t>
  </si>
  <si>
    <t>i211</t>
  </si>
  <si>
    <t>10wjbkicon</t>
  </si>
  <si>
    <t>i212</t>
  </si>
  <si>
    <t>100wjbkicon</t>
  </si>
  <si>
    <t>i213</t>
  </si>
  <si>
    <t>1000wjbkicon</t>
  </si>
  <si>
    <t>i214</t>
  </si>
  <si>
    <t>1yjbkicon</t>
  </si>
  <si>
    <t>i220</t>
  </si>
  <si>
    <t>gifts</t>
  </si>
  <si>
    <t>i230</t>
  </si>
  <si>
    <t>i401</t>
  </si>
  <si>
    <t>i402</t>
  </si>
  <si>
    <t>i403</t>
  </si>
  <si>
    <t>hdsp</t>
  </si>
  <si>
    <t>i500</t>
  </si>
  <si>
    <t>yunshiicon</t>
  </si>
  <si>
    <t>i501</t>
  </si>
  <si>
    <t>i502</t>
  </si>
  <si>
    <t>i503</t>
  </si>
  <si>
    <t>i504</t>
  </si>
  <si>
    <t>i505</t>
  </si>
  <si>
    <t>i601</t>
  </si>
  <si>
    <t>sjysp</t>
  </si>
  <si>
    <t>i602</t>
  </si>
  <si>
    <t>dbssp</t>
  </si>
  <si>
    <t>i603</t>
  </si>
  <si>
    <t>xcysp</t>
  </si>
  <si>
    <t>i604</t>
  </si>
  <si>
    <t>hjsp</t>
  </si>
  <si>
    <t>i605</t>
  </si>
  <si>
    <t>htsp</t>
  </si>
  <si>
    <t>i607</t>
  </si>
  <si>
    <t>jdsp</t>
  </si>
  <si>
    <t>i608</t>
  </si>
  <si>
    <t>mgysp</t>
  </si>
  <si>
    <t>i609</t>
  </si>
  <si>
    <t>ctssp</t>
  </si>
  <si>
    <t>i610</t>
  </si>
  <si>
    <t>cmysp</t>
  </si>
  <si>
    <t>i611</t>
  </si>
  <si>
    <t>smsp</t>
  </si>
  <si>
    <t>i612</t>
  </si>
  <si>
    <t>hgsp</t>
  </si>
  <si>
    <t>i613</t>
  </si>
  <si>
    <t>lbsysp</t>
  </si>
  <si>
    <t>i614</t>
  </si>
  <si>
    <t>dhbysp</t>
  </si>
  <si>
    <t>i615</t>
  </si>
  <si>
    <t>bffsp</t>
  </si>
  <si>
    <t>i616</t>
  </si>
  <si>
    <t>jjysp</t>
  </si>
  <si>
    <t>i617</t>
  </si>
  <si>
    <t>ylsp</t>
  </si>
  <si>
    <t>i618</t>
  </si>
  <si>
    <t>htsp_1</t>
  </si>
  <si>
    <t>i620</t>
  </si>
  <si>
    <t>hgjjsp</t>
  </si>
  <si>
    <t>i621</t>
  </si>
  <si>
    <t>bzysp</t>
  </si>
  <si>
    <t>i622</t>
  </si>
  <si>
    <t>mrysp</t>
  </si>
  <si>
    <t>i623</t>
  </si>
  <si>
    <t>dnysp</t>
  </si>
  <si>
    <t>i624</t>
  </si>
  <si>
    <t>ppsysp</t>
  </si>
  <si>
    <t>i626</t>
  </si>
  <si>
    <t>dysp</t>
  </si>
  <si>
    <t>i632</t>
  </si>
  <si>
    <t>cqysp</t>
  </si>
  <si>
    <t>i639</t>
  </si>
  <si>
    <t>jysp</t>
  </si>
  <si>
    <t>i649</t>
  </si>
  <si>
    <t>zysp</t>
  </si>
  <si>
    <t>i651</t>
  </si>
  <si>
    <t>sjlgsp</t>
  </si>
  <si>
    <t>i657</t>
  </si>
  <si>
    <t>hmsp</t>
  </si>
  <si>
    <t>i700</t>
  </si>
  <si>
    <t>nsspicon_1</t>
  </si>
  <si>
    <t>i701</t>
  </si>
  <si>
    <t>nsspicon_2</t>
  </si>
  <si>
    <t>i702</t>
  </si>
  <si>
    <t>nsspicon_3</t>
  </si>
  <si>
    <t>i703</t>
  </si>
  <si>
    <t>i704</t>
  </si>
  <si>
    <t>i705</t>
  </si>
  <si>
    <t>i706</t>
  </si>
  <si>
    <t>i707</t>
  </si>
  <si>
    <t>i708</t>
  </si>
  <si>
    <t>i709</t>
  </si>
  <si>
    <t>key值</t>
    <phoneticPr fontId="4" type="noConversion"/>
  </si>
  <si>
    <t>hdsp_2</t>
    <phoneticPr fontId="4" type="noConversion"/>
  </si>
  <si>
    <t>hdsp_1</t>
    <phoneticPr fontId="4" type="noConversion"/>
  </si>
  <si>
    <t>anzhishiicon</t>
  </si>
  <si>
    <t>dianzhishiicon</t>
  </si>
  <si>
    <t>dizhishiicon</t>
  </si>
  <si>
    <t>huozhishiicon</t>
  </si>
  <si>
    <t>xuezhishiicon</t>
  </si>
  <si>
    <t>i240</t>
    <phoneticPr fontId="4" type="noConversion"/>
  </si>
  <si>
    <t>i251</t>
    <phoneticPr fontId="4" type="noConversion"/>
  </si>
  <si>
    <t>i252</t>
  </si>
  <si>
    <t>i253</t>
  </si>
  <si>
    <t>i254</t>
  </si>
  <si>
    <t>i255</t>
  </si>
  <si>
    <t>i256</t>
  </si>
  <si>
    <t>i257</t>
  </si>
  <si>
    <t>i800</t>
    <phoneticPr fontId="4" type="noConversion"/>
  </si>
  <si>
    <t>i801</t>
    <phoneticPr fontId="4" type="noConversion"/>
  </si>
  <si>
    <t>i810</t>
    <phoneticPr fontId="4" type="noConversion"/>
  </si>
  <si>
    <t>i003</t>
    <phoneticPr fontId="4" type="noConversion"/>
  </si>
  <si>
    <t>i805</t>
    <phoneticPr fontId="4" type="noConversion"/>
  </si>
  <si>
    <t>i806</t>
    <phoneticPr fontId="4" type="noConversion"/>
  </si>
  <si>
    <t>i807</t>
    <phoneticPr fontId="4" type="noConversion"/>
  </si>
  <si>
    <t>i811</t>
    <phoneticPr fontId="4" type="noConversion"/>
  </si>
  <si>
    <t>i812</t>
  </si>
  <si>
    <t>i813</t>
  </si>
  <si>
    <t>i814</t>
  </si>
  <si>
    <t>i400</t>
    <phoneticPr fontId="4" type="noConversion"/>
  </si>
  <si>
    <t>dhqicon</t>
  </si>
  <si>
    <t>mghicon</t>
    <phoneticPr fontId="4" type="noConversion"/>
  </si>
  <si>
    <t>30hficon</t>
  </si>
  <si>
    <t>100hficon</t>
    <phoneticPr fontId="4" type="noConversion"/>
  </si>
  <si>
    <t>100jdicon</t>
  </si>
  <si>
    <t>500jdicon</t>
    <phoneticPr fontId="4" type="noConversion"/>
  </si>
  <si>
    <t>1000jdicon</t>
    <phoneticPr fontId="4" type="noConversion"/>
  </si>
  <si>
    <t>xmcdbicon</t>
  </si>
  <si>
    <t>flptxdicon</t>
  </si>
  <si>
    <t>xmjhqicon</t>
  </si>
  <si>
    <t>oppor9icon</t>
  </si>
  <si>
    <t>iphone7icon</t>
  </si>
  <si>
    <t>i300</t>
    <phoneticPr fontId="4" type="noConversion"/>
  </si>
  <si>
    <t>i301</t>
  </si>
  <si>
    <t>i302</t>
  </si>
  <si>
    <t>i303</t>
  </si>
  <si>
    <t>i304</t>
  </si>
  <si>
    <t>i305</t>
  </si>
  <si>
    <t>qixi02</t>
  </si>
  <si>
    <t>qixi03</t>
  </si>
  <si>
    <t>qixi04</t>
  </si>
  <si>
    <t>qixi05</t>
  </si>
  <si>
    <t>qixi06</t>
  </si>
  <si>
    <t>i300</t>
    <phoneticPr fontId="4" type="noConversion"/>
  </si>
  <si>
    <t>i305</t>
    <phoneticPr fontId="4" type="noConversion"/>
  </si>
  <si>
    <t>qixi01</t>
  </si>
  <si>
    <t>qixi07</t>
  </si>
  <si>
    <t>qixi09</t>
  </si>
  <si>
    <t>qixi08</t>
  </si>
  <si>
    <t>i005</t>
    <phoneticPr fontId="4" type="noConversion"/>
  </si>
  <si>
    <t>i006</t>
    <phoneticPr fontId="4" type="noConversion"/>
  </si>
  <si>
    <t>laba</t>
    <phoneticPr fontId="4" type="noConversion"/>
  </si>
  <si>
    <t>i410</t>
    <phoneticPr fontId="4" type="noConversion"/>
  </si>
  <si>
    <t>w001</t>
    <phoneticPr fontId="4" type="noConversion"/>
  </si>
  <si>
    <t>w002</t>
    <phoneticPr fontId="4" type="noConversion"/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</si>
  <si>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</si>
  <si>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</si>
  <si>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</si>
  <si>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</si>
  <si>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</si>
  <si>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</si>
  <si>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</si>
  <si>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</si>
  <si>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</si>
  <si>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</si>
  <si>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</si>
  <si>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</si>
  <si>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</si>
  <si>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w501</t>
    <phoneticPr fontId="4" type="noConversion"/>
  </si>
  <si>
    <t>w502</t>
    <phoneticPr fontId="4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</si>
  <si>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</si>
  <si>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</si>
  <si>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</si>
  <si>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</si>
  <si>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</si>
  <si>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</si>
  <si>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</si>
  <si>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</si>
  <si>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</si>
  <si>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</si>
  <si>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</si>
  <si>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</si>
  <si>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</si>
  <si>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i215</t>
    <phoneticPr fontId="4" type="noConversion"/>
  </si>
  <si>
    <t>sjjbkicon</t>
    <phoneticPr fontId="4" type="noConversion"/>
  </si>
  <si>
    <t>i410</t>
    <phoneticPr fontId="4" type="noConversion"/>
  </si>
  <si>
    <t>meigui2</t>
    <phoneticPr fontId="4" type="noConversion"/>
  </si>
  <si>
    <t>i310</t>
    <phoneticPr fontId="4" type="noConversion"/>
  </si>
  <si>
    <t>i311</t>
    <phoneticPr fontId="4" type="noConversion"/>
  </si>
  <si>
    <t>i312</t>
  </si>
  <si>
    <t>i313</t>
  </si>
  <si>
    <t>i314</t>
  </si>
  <si>
    <t>i315</t>
  </si>
  <si>
    <t>i316</t>
  </si>
  <si>
    <t>i317</t>
  </si>
  <si>
    <t>i318</t>
  </si>
  <si>
    <t>i315</t>
    <phoneticPr fontId="4" type="noConversion"/>
  </si>
  <si>
    <t>mianfen</t>
  </si>
  <si>
    <t>hongdou</t>
    <phoneticPr fontId="4" type="noConversion"/>
  </si>
  <si>
    <t>huotui</t>
  </si>
  <si>
    <t>lianzi</t>
  </si>
  <si>
    <t>shijing</t>
  </si>
  <si>
    <t>doushayuebing</t>
  </si>
  <si>
    <t>huotuiyuebing</t>
  </si>
  <si>
    <t>lianrongyuebing</t>
  </si>
  <si>
    <t>baihuashijing</t>
  </si>
  <si>
    <t>i319</t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</si>
  <si>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</si>
  <si>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</si>
  <si>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</si>
  <si>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</si>
  <si>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</si>
  <si>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</si>
  <si>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</si>
  <si>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</si>
  <si>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</si>
  <si>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</si>
  <si>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</si>
  <si>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</si>
  <si>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</si>
  <si>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qian20icon</t>
  </si>
  <si>
    <t>i319</t>
    <phoneticPr fontId="4" type="noConversion"/>
  </si>
  <si>
    <t>suijishicai</t>
  </si>
  <si>
    <t>yueliangtuicon</t>
  </si>
  <si>
    <t>nsspicon_4</t>
    <phoneticPr fontId="4" type="noConversion"/>
  </si>
  <si>
    <t>i420</t>
    <phoneticPr fontId="4" type="noConversion"/>
  </si>
  <si>
    <t>jbksp</t>
    <phoneticPr fontId="4" type="noConversion"/>
  </si>
  <si>
    <t>有效时长</t>
    <phoneticPr fontId="4" type="noConversion"/>
  </si>
  <si>
    <r>
      <t>i</t>
    </r>
    <r>
      <rPr>
        <sz val="11"/>
        <color indexed="8"/>
        <rFont val="微软雅黑"/>
        <family val="2"/>
        <charset val="134"/>
      </rPr>
      <t>nt</t>
    </r>
    <phoneticPr fontId="4" type="noConversion"/>
  </si>
  <si>
    <t>有效期类型</t>
    <phoneticPr fontId="4" type="noConversion"/>
  </si>
  <si>
    <t>lengthtype</t>
    <phoneticPr fontId="4" type="noConversion"/>
  </si>
  <si>
    <t>lengthtime</t>
    <phoneticPr fontId="4" type="noConversion"/>
  </si>
  <si>
    <t>i320</t>
    <phoneticPr fontId="4" type="noConversion"/>
  </si>
  <si>
    <t>i320</t>
    <phoneticPr fontId="4" type="noConversion"/>
  </si>
  <si>
    <t>nangua</t>
    <phoneticPr fontId="4" type="noConversion"/>
  </si>
  <si>
    <t>i321</t>
    <phoneticPr fontId="4" type="noConversion"/>
  </si>
  <si>
    <t>nangua_2</t>
    <phoneticPr fontId="4" type="noConversion"/>
  </si>
  <si>
    <t>i004</t>
    <phoneticPr fontId="4" type="noConversion"/>
  </si>
  <si>
    <t>i004</t>
    <phoneticPr fontId="4" type="noConversion"/>
  </si>
  <si>
    <t>c501</t>
    <phoneticPr fontId="4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</si>
  <si>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</si>
  <si>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</si>
  <si>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</si>
  <si>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</si>
  <si>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</si>
  <si>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</si>
  <si>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</si>
  <si>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</si>
  <si>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</si>
  <si>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</si>
  <si>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</si>
  <si>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</si>
  <si>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</si>
  <si>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</si>
  <si>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wuqilj_13</t>
    <phoneticPr fontId="4" type="noConversion"/>
  </si>
  <si>
    <t>wuqilj_3</t>
    <phoneticPr fontId="4" type="noConversion"/>
  </si>
  <si>
    <t>wuqilj_8</t>
    <phoneticPr fontId="4" type="noConversion"/>
  </si>
  <si>
    <t>wuqilj_9</t>
    <phoneticPr fontId="4" type="noConversion"/>
  </si>
  <si>
    <t>wuqilj</t>
    <phoneticPr fontId="4" type="noConversion"/>
  </si>
  <si>
    <t>wuqilj_7</t>
    <phoneticPr fontId="4" type="noConversion"/>
  </si>
  <si>
    <t>wuqilj_5</t>
    <phoneticPr fontId="4" type="noConversion"/>
  </si>
  <si>
    <t>wuqilj_10</t>
    <phoneticPr fontId="4" type="noConversion"/>
  </si>
  <si>
    <t>wuqilj_2</t>
    <phoneticPr fontId="4" type="noConversion"/>
  </si>
  <si>
    <t>wuqilj_4</t>
    <phoneticPr fontId="4" type="noConversion"/>
  </si>
  <si>
    <t>wuqilj_12</t>
    <phoneticPr fontId="4" type="noConversion"/>
  </si>
  <si>
    <t>wuqilj_1</t>
    <phoneticPr fontId="4" type="noConversion"/>
  </si>
  <si>
    <t>wuqilj_6</t>
    <phoneticPr fontId="4" type="noConversion"/>
  </si>
  <si>
    <t>wuqilj_11</t>
    <phoneticPr fontId="4" type="noConversion"/>
  </si>
  <si>
    <t>suijikalibao</t>
    <phoneticPr fontId="4" type="noConversion"/>
  </si>
  <si>
    <t>putongka</t>
  </si>
  <si>
    <t>emoka</t>
  </si>
  <si>
    <t>tianshika</t>
  </si>
  <si>
    <t>diancika</t>
  </si>
  <si>
    <t>rongyanka</t>
  </si>
  <si>
    <t>jinchanka</t>
  </si>
  <si>
    <t>zhanjianka</t>
  </si>
  <si>
    <t>paopaoka</t>
  </si>
  <si>
    <t>jiatelinka</t>
  </si>
  <si>
    <t>xingjianka</t>
  </si>
  <si>
    <t>dianwanka</t>
  </si>
  <si>
    <t>bingka</t>
  </si>
  <si>
    <t>nvshenka</t>
  </si>
  <si>
    <t>tuzika</t>
  </si>
  <si>
    <t>jian20ka</t>
  </si>
  <si>
    <t>i322</t>
    <phoneticPr fontId="4" type="noConversion"/>
  </si>
  <si>
    <t>i323</t>
    <phoneticPr fontId="4" type="noConversion"/>
  </si>
  <si>
    <t>baoxiangyn</t>
    <phoneticPr fontId="4" type="noConversion"/>
  </si>
  <si>
    <t>i850</t>
    <phoneticPr fontId="4" type="noConversion"/>
  </si>
  <si>
    <t>i851</t>
  </si>
  <si>
    <t>i852</t>
  </si>
  <si>
    <t>i860</t>
    <phoneticPr fontId="4" type="noConversion"/>
  </si>
  <si>
    <t>i861</t>
    <phoneticPr fontId="4" type="noConversion"/>
  </si>
  <si>
    <t>i862</t>
    <phoneticPr fontId="4" type="noConversion"/>
  </si>
  <si>
    <t>i870</t>
    <phoneticPr fontId="4" type="noConversion"/>
  </si>
  <si>
    <t>i871</t>
    <phoneticPr fontId="4" type="noConversion"/>
  </si>
  <si>
    <t>i872</t>
    <phoneticPr fontId="4" type="noConversion"/>
  </si>
  <si>
    <t>item_name_i000</t>
  </si>
  <si>
    <t>item_desc_i000</t>
  </si>
  <si>
    <t>item_name_i001</t>
  </si>
  <si>
    <t>item_desc_i001</t>
  </si>
  <si>
    <t>item_name_i002</t>
  </si>
  <si>
    <t>item_desc_i002</t>
  </si>
  <si>
    <t>item_name_i003</t>
  </si>
  <si>
    <t>item_desc_i003</t>
  </si>
  <si>
    <t>item_name_i004</t>
  </si>
  <si>
    <t>item_desc_i004</t>
  </si>
  <si>
    <t>item_name_i005</t>
  </si>
  <si>
    <t>item_desc_i005</t>
  </si>
  <si>
    <t>item_name_i006</t>
  </si>
  <si>
    <t>item_desc_i006</t>
  </si>
  <si>
    <t>item_name_i011</t>
  </si>
  <si>
    <t>item_desc_i011</t>
  </si>
  <si>
    <t>item_name_i012</t>
  </si>
  <si>
    <t>item_desc_i012</t>
  </si>
  <si>
    <t>item_name_i013</t>
  </si>
  <si>
    <t>item_desc_i013</t>
  </si>
  <si>
    <t>item_name_i014</t>
  </si>
  <si>
    <t>item_desc_i014</t>
  </si>
  <si>
    <t>item_name_i015</t>
  </si>
  <si>
    <t>item_desc_i015</t>
  </si>
  <si>
    <t>item_name_i016</t>
  </si>
  <si>
    <t>item_desc_i016</t>
  </si>
  <si>
    <t>item_name_i017</t>
  </si>
  <si>
    <t>item_desc_i017</t>
  </si>
  <si>
    <t>item_name_i051</t>
  </si>
  <si>
    <t>item_desc_i051</t>
  </si>
  <si>
    <t>item_name_i101</t>
  </si>
  <si>
    <t>item_desc_i101</t>
  </si>
  <si>
    <t>item_name_i102</t>
  </si>
  <si>
    <t>item_desc_i102</t>
  </si>
  <si>
    <t>item_name_i103</t>
  </si>
  <si>
    <t>item_desc_i103</t>
  </si>
  <si>
    <t>item_name_i110</t>
  </si>
  <si>
    <t>item_desc_i110</t>
  </si>
  <si>
    <t>item_name_i111</t>
  </si>
  <si>
    <t>item_desc_i111</t>
  </si>
  <si>
    <t>item_name_i200</t>
  </si>
  <si>
    <t>item_desc_i200</t>
  </si>
  <si>
    <t>item_name_i210</t>
  </si>
  <si>
    <t>item_desc_i210</t>
  </si>
  <si>
    <t>item_name_i211</t>
  </si>
  <si>
    <t>item_desc_i211</t>
  </si>
  <si>
    <t>item_name_i212</t>
  </si>
  <si>
    <t>item_desc_i212</t>
  </si>
  <si>
    <t>item_name_i213</t>
  </si>
  <si>
    <t>item_desc_i213</t>
  </si>
  <si>
    <t>item_name_i214</t>
  </si>
  <si>
    <t>item_desc_i214</t>
  </si>
  <si>
    <t>item_name_i215</t>
  </si>
  <si>
    <t>item_desc_i215</t>
  </si>
  <si>
    <t>item_name_i220</t>
  </si>
  <si>
    <t>item_desc_i220</t>
  </si>
  <si>
    <t>item_name_i230</t>
  </si>
  <si>
    <t>item_desc_i230</t>
  </si>
  <si>
    <t>item_name_i240</t>
  </si>
  <si>
    <t>item_desc_i240</t>
  </si>
  <si>
    <t>item_name_i251</t>
  </si>
  <si>
    <t>item_desc_i251</t>
  </si>
  <si>
    <t>item_name_i252</t>
  </si>
  <si>
    <t>item_desc_i252</t>
  </si>
  <si>
    <t>item_name_i253</t>
  </si>
  <si>
    <t>item_desc_i253</t>
  </si>
  <si>
    <t>item_name_i254</t>
  </si>
  <si>
    <t>item_desc_i254</t>
  </si>
  <si>
    <t>item_name_i255</t>
  </si>
  <si>
    <t>item_desc_i255</t>
  </si>
  <si>
    <t>item_name_i256</t>
  </si>
  <si>
    <t>item_desc_i256</t>
  </si>
  <si>
    <t>item_name_i257</t>
  </si>
  <si>
    <t>item_desc_i257</t>
  </si>
  <si>
    <t>item_name_i300</t>
  </si>
  <si>
    <t>item_desc_i300</t>
  </si>
  <si>
    <t>item_name_i301</t>
  </si>
  <si>
    <t>item_desc_i301</t>
  </si>
  <si>
    <t>item_name_i302</t>
  </si>
  <si>
    <t>item_desc_i302</t>
  </si>
  <si>
    <t>item_name_i303</t>
  </si>
  <si>
    <t>item_desc_i303</t>
  </si>
  <si>
    <t>item_name_i304</t>
  </si>
  <si>
    <t>item_desc_i304</t>
  </si>
  <si>
    <t>item_name_i305</t>
  </si>
  <si>
    <t>item_desc_i305</t>
  </si>
  <si>
    <t>item_name_i310</t>
  </si>
  <si>
    <t>item_desc_i310</t>
  </si>
  <si>
    <t>item_name_i311</t>
  </si>
  <si>
    <t>item_desc_i311</t>
  </si>
  <si>
    <t>item_name_i312</t>
  </si>
  <si>
    <t>item_desc_i312</t>
  </si>
  <si>
    <t>item_name_i313</t>
  </si>
  <si>
    <t>item_desc_i313</t>
  </si>
  <si>
    <t>item_name_i314</t>
  </si>
  <si>
    <t>item_desc_i314</t>
  </si>
  <si>
    <t>item_name_i315</t>
  </si>
  <si>
    <t>item_desc_i315</t>
  </si>
  <si>
    <t>item_name_i316</t>
  </si>
  <si>
    <t>item_desc_i316</t>
  </si>
  <si>
    <t>item_name_i317</t>
  </si>
  <si>
    <t>item_desc_i317</t>
  </si>
  <si>
    <t>item_name_i318</t>
  </si>
  <si>
    <t>item_desc_i318</t>
  </si>
  <si>
    <t>item_name_i319</t>
  </si>
  <si>
    <t>item_desc_i319</t>
  </si>
  <si>
    <t>item_name_i320</t>
  </si>
  <si>
    <t>item_desc_i320</t>
  </si>
  <si>
    <t>item_name_i321</t>
  </si>
  <si>
    <t>item_desc_i321</t>
  </si>
  <si>
    <t>item_name_i322</t>
  </si>
  <si>
    <t>item_desc_i322</t>
  </si>
  <si>
    <t>item_name_i323</t>
  </si>
  <si>
    <t>item_desc_i323</t>
  </si>
  <si>
    <t>item_name_i400</t>
  </si>
  <si>
    <t>item_desc_i400</t>
  </si>
  <si>
    <t>item_name_i401</t>
  </si>
  <si>
    <t>item_desc_i401</t>
  </si>
  <si>
    <t>item_name_i402</t>
  </si>
  <si>
    <t>item_desc_i402</t>
  </si>
  <si>
    <t>item_name_i403</t>
  </si>
  <si>
    <t>item_desc_i403</t>
  </si>
  <si>
    <t>item_name_i410</t>
  </si>
  <si>
    <t>item_desc_i410</t>
  </si>
  <si>
    <t>item_name_i420</t>
  </si>
  <si>
    <t>item_desc_i420</t>
  </si>
  <si>
    <t>item_name_i500</t>
  </si>
  <si>
    <t>item_desc_i500</t>
  </si>
  <si>
    <t>item_name_i501</t>
  </si>
  <si>
    <t>item_desc_i501</t>
  </si>
  <si>
    <t>item_name_i502</t>
  </si>
  <si>
    <t>item_desc_i502</t>
  </si>
  <si>
    <t>item_name_i503</t>
  </si>
  <si>
    <t>item_desc_i503</t>
  </si>
  <si>
    <t>item_name_i504</t>
  </si>
  <si>
    <t>item_desc_i504</t>
  </si>
  <si>
    <t>item_name_i505</t>
  </si>
  <si>
    <t>item_desc_i505</t>
  </si>
  <si>
    <t>item_name_i601</t>
  </si>
  <si>
    <t>item_desc_i601</t>
  </si>
  <si>
    <t>item_name_i602</t>
  </si>
  <si>
    <t>item_desc_i602</t>
  </si>
  <si>
    <t>item_name_i603</t>
  </si>
  <si>
    <t>item_desc_i603</t>
  </si>
  <si>
    <t>item_name_i604</t>
  </si>
  <si>
    <t>item_desc_i604</t>
  </si>
  <si>
    <t>item_name_i605</t>
  </si>
  <si>
    <t>item_desc_i605</t>
  </si>
  <si>
    <t>item_name_i607</t>
  </si>
  <si>
    <t>item_desc_i607</t>
  </si>
  <si>
    <t>item_name_i608</t>
  </si>
  <si>
    <t>item_desc_i608</t>
  </si>
  <si>
    <t>item_name_i609</t>
  </si>
  <si>
    <t>item_desc_i609</t>
  </si>
  <si>
    <t>item_name_i610</t>
  </si>
  <si>
    <t>item_desc_i610</t>
  </si>
  <si>
    <t>item_name_i611</t>
  </si>
  <si>
    <t>item_desc_i611</t>
  </si>
  <si>
    <t>item_name_i612</t>
  </si>
  <si>
    <t>item_desc_i612</t>
  </si>
  <si>
    <t>item_name_i613</t>
  </si>
  <si>
    <t>item_desc_i613</t>
  </si>
  <si>
    <t>item_name_i614</t>
  </si>
  <si>
    <t>item_desc_i614</t>
  </si>
  <si>
    <t>item_name_i615</t>
  </si>
  <si>
    <t>item_desc_i615</t>
  </si>
  <si>
    <t>item_name_i616</t>
  </si>
  <si>
    <t>item_desc_i616</t>
  </si>
  <si>
    <t>item_name_i617</t>
  </si>
  <si>
    <t>item_desc_i617</t>
  </si>
  <si>
    <t>item_name_i618</t>
  </si>
  <si>
    <t>item_desc_i618</t>
  </si>
  <si>
    <t>item_name_i620</t>
  </si>
  <si>
    <t>item_desc_i620</t>
  </si>
  <si>
    <t>item_name_i621</t>
  </si>
  <si>
    <t>item_desc_i621</t>
  </si>
  <si>
    <t>item_name_i622</t>
  </si>
  <si>
    <t>item_desc_i622</t>
  </si>
  <si>
    <t>item_name_i623</t>
  </si>
  <si>
    <t>item_desc_i623</t>
  </si>
  <si>
    <t>item_name_i624</t>
  </si>
  <si>
    <t>item_desc_i624</t>
  </si>
  <si>
    <t>item_name_i626</t>
  </si>
  <si>
    <t>item_desc_i626</t>
  </si>
  <si>
    <t>item_name_i632</t>
  </si>
  <si>
    <t>item_desc_i632</t>
  </si>
  <si>
    <t>item_name_i639</t>
  </si>
  <si>
    <t>item_desc_i639</t>
  </si>
  <si>
    <t>item_name_i649</t>
  </si>
  <si>
    <t>item_desc_i649</t>
  </si>
  <si>
    <t>item_name_i651</t>
  </si>
  <si>
    <t>item_desc_i651</t>
  </si>
  <si>
    <t>item_name_i657</t>
  </si>
  <si>
    <t>item_desc_i657</t>
  </si>
  <si>
    <t>item_name_i700</t>
  </si>
  <si>
    <t>item_desc_i700</t>
  </si>
  <si>
    <t>item_name_i701</t>
  </si>
  <si>
    <t>item_desc_i701</t>
  </si>
  <si>
    <t>item_name_i702</t>
  </si>
  <si>
    <t>item_desc_i702</t>
  </si>
  <si>
    <t>item_name_i703</t>
  </si>
  <si>
    <t>item_desc_i703</t>
  </si>
  <si>
    <t>item_name_i704</t>
  </si>
  <si>
    <t>item_desc_i704</t>
  </si>
  <si>
    <t>item_name_i705</t>
  </si>
  <si>
    <t>item_desc_i705</t>
  </si>
  <si>
    <t>item_name_i706</t>
  </si>
  <si>
    <t>item_desc_i706</t>
  </si>
  <si>
    <t>item_name_i707</t>
  </si>
  <si>
    <t>item_desc_i707</t>
  </si>
  <si>
    <t>item_name_i708</t>
  </si>
  <si>
    <t>item_desc_i708</t>
  </si>
  <si>
    <t>item_name_i709</t>
  </si>
  <si>
    <t>item_desc_i709</t>
  </si>
  <si>
    <t>item_name_i800</t>
  </si>
  <si>
    <t>item_desc_i800</t>
  </si>
  <si>
    <t>item_name_i801</t>
  </si>
  <si>
    <t>item_desc_i801</t>
  </si>
  <si>
    <t>item_name_i805</t>
  </si>
  <si>
    <t>item_desc_i805</t>
  </si>
  <si>
    <t>item_name_i806</t>
  </si>
  <si>
    <t>item_desc_i806</t>
  </si>
  <si>
    <t>item_name_i807</t>
  </si>
  <si>
    <t>item_desc_i807</t>
  </si>
  <si>
    <t>item_name_i810</t>
  </si>
  <si>
    <t>item_desc_i810</t>
  </si>
  <si>
    <t>item_name_i811</t>
  </si>
  <si>
    <t>item_desc_i811</t>
  </si>
  <si>
    <t>item_name_i812</t>
  </si>
  <si>
    <t>item_desc_i812</t>
  </si>
  <si>
    <t>item_name_i813</t>
  </si>
  <si>
    <t>item_desc_i813</t>
  </si>
  <si>
    <t>item_name_i814</t>
  </si>
  <si>
    <t>item_desc_i814</t>
  </si>
  <si>
    <t>item_name_w001</t>
  </si>
  <si>
    <t>item_desc_w001</t>
  </si>
  <si>
    <t>item_name_w002</t>
  </si>
  <si>
    <t>item_desc_w002</t>
  </si>
  <si>
    <t>item_name_w003</t>
  </si>
  <si>
    <t>item_desc_w003</t>
  </si>
  <si>
    <t>item_name_w004</t>
  </si>
  <si>
    <t>item_desc_w004</t>
  </si>
  <si>
    <t>item_name_w005</t>
  </si>
  <si>
    <t>item_desc_w005</t>
  </si>
  <si>
    <t>item_name_w006</t>
  </si>
  <si>
    <t>item_desc_w006</t>
  </si>
  <si>
    <t>item_name_w007</t>
  </si>
  <si>
    <t>item_desc_w007</t>
  </si>
  <si>
    <t>item_name_w008</t>
  </si>
  <si>
    <t>item_desc_w008</t>
  </si>
  <si>
    <t>item_name_w009</t>
  </si>
  <si>
    <t>item_desc_w009</t>
  </si>
  <si>
    <t>item_name_w010</t>
  </si>
  <si>
    <t>item_desc_w010</t>
  </si>
  <si>
    <t>item_name_w011</t>
  </si>
  <si>
    <t>item_desc_w011</t>
  </si>
  <si>
    <t>item_name_w012</t>
  </si>
  <si>
    <t>item_desc_w012</t>
  </si>
  <si>
    <t>item_name_w013</t>
  </si>
  <si>
    <t>item_desc_w013</t>
  </si>
  <si>
    <t>item_name_w014</t>
  </si>
  <si>
    <t>item_desc_w014</t>
  </si>
  <si>
    <t>item_name_w015</t>
  </si>
  <si>
    <t>item_desc_w015</t>
  </si>
  <si>
    <t>item_name_w501</t>
  </si>
  <si>
    <t>item_desc_w501</t>
  </si>
  <si>
    <t>item_name_w502</t>
  </si>
  <si>
    <t>item_desc_w502</t>
  </si>
  <si>
    <t>item_name_w503</t>
  </si>
  <si>
    <t>item_desc_w503</t>
  </si>
  <si>
    <t>item_name_w504</t>
  </si>
  <si>
    <t>item_desc_w504</t>
  </si>
  <si>
    <t>item_name_w505</t>
  </si>
  <si>
    <t>item_desc_w505</t>
  </si>
  <si>
    <t>item_name_w506</t>
  </si>
  <si>
    <t>item_desc_w506</t>
  </si>
  <si>
    <t>item_name_w507</t>
  </si>
  <si>
    <t>item_desc_w507</t>
  </si>
  <si>
    <t>item_name_w508</t>
  </si>
  <si>
    <t>item_desc_w508</t>
  </si>
  <si>
    <t>item_name_w509</t>
  </si>
  <si>
    <t>item_desc_w509</t>
  </si>
  <si>
    <t>item_name_w510</t>
  </si>
  <si>
    <t>item_desc_w510</t>
  </si>
  <si>
    <t>item_name_w511</t>
  </si>
  <si>
    <t>item_desc_w511</t>
  </si>
  <si>
    <t>item_name_w512</t>
  </si>
  <si>
    <t>item_desc_w512</t>
  </si>
  <si>
    <t>item_name_w513</t>
  </si>
  <si>
    <t>item_desc_w513</t>
  </si>
  <si>
    <t>item_name_w514</t>
  </si>
  <si>
    <t>item_desc_w514</t>
  </si>
  <si>
    <t>item_name_w515</t>
  </si>
  <si>
    <t>item_desc_w515</t>
  </si>
  <si>
    <t>item_name_c501</t>
  </si>
  <si>
    <t>item_desc_c501</t>
  </si>
  <si>
    <t>item_name_c502</t>
  </si>
  <si>
    <t>item_desc_c502</t>
  </si>
  <si>
    <t>item_name_c503</t>
  </si>
  <si>
    <t>item_desc_c503</t>
  </si>
  <si>
    <t>item_name_c504</t>
  </si>
  <si>
    <t>item_desc_c504</t>
  </si>
  <si>
    <t>item_name_c505</t>
  </si>
  <si>
    <t>item_desc_c505</t>
  </si>
  <si>
    <t>item_name_c506</t>
  </si>
  <si>
    <t>item_desc_c506</t>
  </si>
  <si>
    <t>item_name_c507</t>
  </si>
  <si>
    <t>item_desc_c507</t>
  </si>
  <si>
    <t>item_name_c508</t>
  </si>
  <si>
    <t>item_desc_c508</t>
  </si>
  <si>
    <t>item_name_c509</t>
  </si>
  <si>
    <t>item_desc_c509</t>
  </si>
  <si>
    <t>item_name_c510</t>
  </si>
  <si>
    <t>item_desc_c510</t>
  </si>
  <si>
    <t>item_name_c511</t>
  </si>
  <si>
    <t>item_desc_c511</t>
  </si>
  <si>
    <t>item_name_c512</t>
  </si>
  <si>
    <t>item_desc_c512</t>
  </si>
  <si>
    <t>item_name_c513</t>
  </si>
  <si>
    <t>item_desc_c513</t>
  </si>
  <si>
    <t>item_name_c514</t>
  </si>
  <si>
    <t>item_desc_c514</t>
  </si>
  <si>
    <t>item_name_c515</t>
  </si>
  <si>
    <t>item_desc_c515</t>
  </si>
  <si>
    <t>100.000D</t>
    <phoneticPr fontId="4" type="noConversion"/>
  </si>
  <si>
    <t>200.000D</t>
    <phoneticPr fontId="4" type="noConversion"/>
  </si>
  <si>
    <t>300.000D</t>
    <phoneticPr fontId="4" type="noConversion"/>
  </si>
  <si>
    <t>ditu</t>
    <phoneticPr fontId="4" type="noConversion"/>
  </si>
  <si>
    <t>key</t>
    <phoneticPr fontId="4" type="noConversion"/>
  </si>
  <si>
    <t>string</t>
    <phoneticPr fontId="13" type="noConversion"/>
  </si>
  <si>
    <t>ALL</t>
    <phoneticPr fontId="4" type="noConversion"/>
  </si>
  <si>
    <t>i007</t>
    <phoneticPr fontId="4" type="noConversion"/>
  </si>
  <si>
    <t>item_name_i007</t>
    <phoneticPr fontId="4" type="noConversion"/>
  </si>
  <si>
    <t>item_desc_i007</t>
    <phoneticPr fontId="4" type="noConversion"/>
  </si>
  <si>
    <t>shengbeilvicon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</si>
</sst>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0">
    <xf numFmtId="0" fontId="0" fillId="0" borderId="0" xfId="0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4" xfId="1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5" fillId="0" borderId="3" xfId="0" applyFont="1" applyBorder="1"/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NumberFormat="1" applyFont="1"/>
    <xf numFmtId="0" fontId="10" fillId="0" borderId="0" xfId="0" applyFont="1"/>
    <xf numFmtId="0" fontId="8" fillId="0" borderId="0" xfId="0" applyFont="1" applyBorder="1" applyAlignment="1">
      <alignment vertical="center"/>
    </xf>
    <xf numFmtId="0" fontId="8" fillId="0" borderId="0" xfId="0" applyFont="1" applyAlignment="1"/>
    <xf numFmtId="0" fontId="9" fillId="0" borderId="0" xfId="0" applyFont="1" applyAlignment="1"/>
    <xf numFmtId="0" fontId="3" fillId="0" borderId="0" xfId="0" applyFont="1"/>
    <xf numFmtId="0" fontId="11" fillId="6" borderId="0" xfId="0" applyFont="1" applyFill="1" applyAlignment="1">
      <alignment vertical="center" wrapText="1"/>
    </xf>
    <xf numFmtId="0" fontId="11" fillId="6" borderId="0" xfId="0" applyFont="1" applyFill="1" applyAlignment="1">
      <alignment vertical="center"/>
    </xf>
    <xf numFmtId="0" fontId="11" fillId="6" borderId="0" xfId="0" applyFont="1" applyFill="1" applyAlignment="1">
      <alignment horizontal="center" vertical="center"/>
    </xf>
    <xf numFmtId="49" fontId="12" fillId="7" borderId="1" xfId="1" applyNumberFormat="1" applyFont="1" applyFill="1" applyBorder="1" applyAlignment="1">
      <alignment horizontal="right"/>
    </xf>
    <xf numFmtId="49" fontId="12" fillId="7" borderId="1" xfId="1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14"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0076D2D-2247-4828-B7B2-007348FC7109}"/>
            </a:ext>
          </a:extLst>
        </xdr:cNvPr>
        <xdr:cNvSpPr/>
      </xdr:nvSpPr>
      <xdr:spPr>
        <a:xfrm>
          <a:off x="0" y="0"/>
          <a:ext cx="314325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M176" totalsRowShown="0" dataDxfId="13">
  <autoFilter ref="A4:M176" xr:uid="{00000000-0009-0000-0100-000001000000}"/>
  <tableColumns count="13">
    <tableColumn id="1" xr3:uid="{00000000-0010-0000-0100-000001000000}" name="key值" dataDxfId="12"/>
    <tableColumn id="2" xr3:uid="{00000000-0010-0000-0100-000002000000}" name="物品名称" dataDxfId="11"/>
    <tableColumn id="3" xr3:uid="{00000000-0010-0000-0100-000003000000}" name="物品描述" dataDxfId="10"/>
    <tableColumn id="4" xr3:uid="{00000000-0010-0000-0100-000004000000}" name="类型" dataDxfId="9"/>
    <tableColumn id="5" xr3:uid="{00000000-0010-0000-0100-000005000000}" name="该类型对应id，-1无意义" dataDxfId="8"/>
    <tableColumn id="6" xr3:uid="{00000000-0010-0000-0100-000006000000}" name="售价金币" dataDxfId="7"/>
    <tableColumn id="7" xr3:uid="{00000000-0010-0000-0100-000007000000}" name="奖励id" dataDxfId="6"/>
    <tableColumn id="8" xr3:uid="{00000000-0010-0000-0100-000008000000}" name="需要等级" dataDxfId="5"/>
    <tableColumn id="9" xr3:uid="{00000000-0010-0000-0100-000009000000}" name="显示图标" dataDxfId="4"/>
    <tableColumn id="12" xr3:uid="{308F0B51-BD71-4389-8341-03B521D6F142}" name="有效期类型" dataDxfId="3"/>
    <tableColumn id="13" xr3:uid="{2B36894C-F459-469E-A15A-332BD32DE036}" name="有效时长" dataDxfId="2"/>
    <tableColumn id="10" xr3:uid="{00000000-0010-0000-0100-00000A000000}" name="名称" dataDxfId="1">
      <calculatedColumnFormula>VLOOKUP(表1[[#This Row],[物品名称]],[1]!表1_8[#Data],2,FALSE)</calculatedColumnFormula>
    </tableColumn>
    <tableColumn id="11" xr3:uid="{00000000-0010-0000-0100-00000B000000}" name="描述" dataDxfId="0">
      <calculatedColumnFormula>VLOOKUP(表1[[#This Row],[物品描述]],[1]!表1_8[#Data],2,FALSE)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1" customWidth="1"/>
    <col min="2" max="2" width="85.125" style="1" customWidth="1"/>
    <col min="3" max="16384" width="9" style="1"/>
  </cols>
  <sheetData>
    <row r="1" spans="1:2" ht="16.5" x14ac:dyDescent="0.3">
      <c r="A1" s="2" t="s">
        <v>0</v>
      </c>
      <c r="B1" s="1" t="s">
        <v>1</v>
      </c>
    </row>
    <row r="2" spans="1:2" ht="16.5" x14ac:dyDescent="0.15">
      <c r="A2" s="3" t="s">
        <v>2</v>
      </c>
      <c r="B2" s="1" t="s">
        <v>3</v>
      </c>
    </row>
    <row r="3" spans="1:2" ht="16.5" x14ac:dyDescent="0.3">
      <c r="A3" s="4" t="s">
        <v>4</v>
      </c>
      <c r="B3" s="1" t="s">
        <v>5</v>
      </c>
    </row>
    <row r="4" spans="1:2" ht="16.5" x14ac:dyDescent="0.15">
      <c r="A4" s="5" t="s">
        <v>6</v>
      </c>
      <c r="B4" s="1" t="s">
        <v>7</v>
      </c>
    </row>
    <row r="6" spans="1:2" x14ac:dyDescent="0.15">
      <c r="A6" s="28" t="s">
        <v>8</v>
      </c>
      <c r="B6" s="29"/>
    </row>
    <row r="7" spans="1:2" x14ac:dyDescent="0.15">
      <c r="A7" s="29"/>
      <c r="B7" s="29"/>
    </row>
    <row r="8" spans="1:2" x14ac:dyDescent="0.15">
      <c r="A8" s="29"/>
      <c r="B8" s="29"/>
    </row>
    <row r="9" spans="1:2" x14ac:dyDescent="0.15">
      <c r="A9" s="29"/>
      <c r="B9" s="29"/>
    </row>
    <row r="10" spans="1:2" x14ac:dyDescent="0.15">
      <c r="A10" s="29"/>
      <c r="B10" s="29"/>
    </row>
    <row r="11" spans="1:2" x14ac:dyDescent="0.15">
      <c r="A11" s="29"/>
      <c r="B11" s="29"/>
    </row>
    <row r="12" spans="1:2" x14ac:dyDescent="0.15">
      <c r="A12" s="29"/>
      <c r="B12" s="29"/>
    </row>
    <row r="13" spans="1:2" x14ac:dyDescent="0.15">
      <c r="A13" s="29"/>
      <c r="B13" s="29"/>
    </row>
    <row r="14" spans="1:2" x14ac:dyDescent="0.15">
      <c r="A14" s="29"/>
      <c r="B14" s="29"/>
    </row>
    <row r="15" spans="1:2" x14ac:dyDescent="0.15">
      <c r="A15" s="29"/>
      <c r="B15" s="29"/>
    </row>
    <row r="16" spans="1:2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/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76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M7" sqref="M7"/>
    </sheetView>
  </sheetViews>
  <sheetFormatPr defaultColWidth="8.875" defaultRowHeight="16.5" x14ac:dyDescent="0.3"/>
  <cols>
    <col min="1" max="1" width="16.5" style="6" customWidth="1"/>
    <col min="2" max="3" width="14.125" style="6" bestFit="1" customWidth="1"/>
    <col min="4" max="4" width="7.75" style="6" bestFit="1" customWidth="1"/>
    <col min="5" max="5" width="23.25" style="6" customWidth="1"/>
    <col min="6" max="6" width="11.75" style="6" customWidth="1"/>
    <col min="7" max="7" width="10" style="6" bestFit="1" customWidth="1"/>
    <col min="8" max="8" width="11.75" style="6" customWidth="1"/>
    <col min="9" max="9" width="17.125" style="6" bestFit="1" customWidth="1"/>
    <col min="10" max="10" width="13.875" style="6" bestFit="1" customWidth="1"/>
    <col min="11" max="11" width="11.75" style="6" customWidth="1"/>
    <col min="12" max="12" width="19.5" style="6" customWidth="1"/>
    <col min="13" max="13" width="40.375" style="6" customWidth="1"/>
    <col min="14" max="16384" width="8.875" style="6"/>
  </cols>
  <sheetData>
    <row r="1" spans="1:27" s="19" customFormat="1" ht="12" customHeight="1" x14ac:dyDescent="0.15">
      <c r="A1" s="18"/>
      <c r="B1" s="19" t="s">
        <v>690</v>
      </c>
      <c r="C1" s="18"/>
      <c r="X1" s="20"/>
    </row>
    <row r="2" spans="1:27" s="23" customFormat="1" ht="12" customHeight="1" x14ac:dyDescent="0.15">
      <c r="A2" s="21" t="s">
        <v>15</v>
      </c>
      <c r="B2" s="22" t="s">
        <v>11</v>
      </c>
      <c r="C2" s="22" t="s">
        <v>16</v>
      </c>
      <c r="D2" s="22" t="s">
        <v>17</v>
      </c>
      <c r="E2" s="22" t="s">
        <v>18</v>
      </c>
      <c r="F2" s="22" t="s">
        <v>19</v>
      </c>
      <c r="G2" s="22" t="s">
        <v>20</v>
      </c>
      <c r="H2" s="22" t="s">
        <v>21</v>
      </c>
      <c r="I2" s="22" t="s">
        <v>22</v>
      </c>
      <c r="J2" s="22" t="s">
        <v>294</v>
      </c>
      <c r="K2" s="22" t="s">
        <v>295</v>
      </c>
      <c r="L2" s="22" t="s">
        <v>12</v>
      </c>
      <c r="M2" s="22" t="s">
        <v>12</v>
      </c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688</v>
      </c>
      <c r="B3" s="25" t="s">
        <v>689</v>
      </c>
      <c r="C3" s="25" t="s">
        <v>13</v>
      </c>
      <c r="D3" s="25" t="s">
        <v>23</v>
      </c>
      <c r="E3" s="25" t="s">
        <v>23</v>
      </c>
      <c r="F3" s="25" t="s">
        <v>23</v>
      </c>
      <c r="G3" s="25" t="s">
        <v>13</v>
      </c>
      <c r="H3" s="25" t="s">
        <v>23</v>
      </c>
      <c r="I3" s="25" t="s">
        <v>13</v>
      </c>
      <c r="J3" s="25" t="s">
        <v>292</v>
      </c>
      <c r="K3" s="25" t="s">
        <v>292</v>
      </c>
      <c r="L3" s="25" t="s">
        <v>12</v>
      </c>
      <c r="M3" s="25" t="s">
        <v>12</v>
      </c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x14ac:dyDescent="0.3">
      <c r="A4" s="7" t="s">
        <v>156</v>
      </c>
      <c r="B4" s="8" t="s">
        <v>24</v>
      </c>
      <c r="C4" s="8" t="s">
        <v>25</v>
      </c>
      <c r="D4" s="8" t="s">
        <v>2</v>
      </c>
      <c r="E4" s="8" t="s">
        <v>26</v>
      </c>
      <c r="F4" s="8" t="s">
        <v>27</v>
      </c>
      <c r="G4" s="8" t="s">
        <v>28</v>
      </c>
      <c r="H4" s="8" t="s">
        <v>29</v>
      </c>
      <c r="I4" s="8" t="s">
        <v>30</v>
      </c>
      <c r="J4" s="17" t="s">
        <v>293</v>
      </c>
      <c r="K4" s="17" t="s">
        <v>291</v>
      </c>
      <c r="L4" s="9" t="s">
        <v>31</v>
      </c>
      <c r="M4" s="9" t="s">
        <v>14</v>
      </c>
    </row>
    <row r="5" spans="1:27" ht="17.25" x14ac:dyDescent="0.35">
      <c r="A5" s="10" t="s">
        <v>32</v>
      </c>
      <c r="B5" s="11" t="s">
        <v>360</v>
      </c>
      <c r="C5" s="11" t="s">
        <v>361</v>
      </c>
      <c r="D5" s="10">
        <v>7</v>
      </c>
      <c r="E5" s="10">
        <v>-1</v>
      </c>
      <c r="F5" s="10">
        <v>0</v>
      </c>
      <c r="G5" s="10" t="s">
        <v>32</v>
      </c>
      <c r="H5" s="10">
        <v>0</v>
      </c>
      <c r="I5" s="10" t="s">
        <v>33</v>
      </c>
      <c r="J5" s="10">
        <v>1</v>
      </c>
      <c r="K5" s="10">
        <v>90</v>
      </c>
      <c r="L5" s="12" t="e">
        <f>VLOOKUP(表1[[#This Row],[物品名称]],[1]!表1_8[#Data],2,FALSE)</f>
        <v>#REF!</v>
      </c>
      <c r="M5" s="12" t="e">
        <f>VLOOKUP(表1[[#This Row],[物品描述]],[1]!表1_8[#Data],2,FALSE)</f>
        <v>#REF!</v>
      </c>
    </row>
    <row r="6" spans="1:27" ht="17.25" x14ac:dyDescent="0.35">
      <c r="A6" s="10" t="s">
        <v>34</v>
      </c>
      <c r="B6" s="11" t="s">
        <v>362</v>
      </c>
      <c r="C6" s="11" t="s">
        <v>363</v>
      </c>
      <c r="D6" s="10">
        <v>1</v>
      </c>
      <c r="E6" s="10">
        <v>-1</v>
      </c>
      <c r="F6" s="10">
        <v>0</v>
      </c>
      <c r="G6" s="10">
        <v>0</v>
      </c>
      <c r="H6" s="10">
        <v>0</v>
      </c>
      <c r="I6" s="10" t="s">
        <v>33</v>
      </c>
      <c r="J6" s="10">
        <v>0</v>
      </c>
      <c r="K6" s="10">
        <v>0</v>
      </c>
      <c r="L6" s="13" t="e">
        <f>VLOOKUP(表1[[#This Row],[物品名称]],[1]!表1_8[#Data],2,FALSE)</f>
        <v>#REF!</v>
      </c>
      <c r="M6" s="13" t="e">
        <f>VLOOKUP(表1[[#This Row],[物品描述]],[1]!表1_8[#Data],2,FALSE)</f>
        <v>#REF!</v>
      </c>
    </row>
    <row r="7" spans="1:27" ht="17.25" x14ac:dyDescent="0.35">
      <c r="A7" s="10" t="s">
        <v>35</v>
      </c>
      <c r="B7" s="11" t="s">
        <v>364</v>
      </c>
      <c r="C7" s="11" t="s">
        <v>365</v>
      </c>
      <c r="D7" s="10">
        <v>2</v>
      </c>
      <c r="E7" s="10">
        <v>-1</v>
      </c>
      <c r="F7" s="10">
        <v>0</v>
      </c>
      <c r="G7" s="10">
        <v>0</v>
      </c>
      <c r="H7" s="10">
        <v>0</v>
      </c>
      <c r="I7" s="10" t="s">
        <v>36</v>
      </c>
      <c r="J7" s="10">
        <v>0</v>
      </c>
      <c r="K7" s="10">
        <v>0</v>
      </c>
      <c r="L7" s="13" t="e">
        <f>VLOOKUP(表1[[#This Row],[物品名称]],[1]!表1_8[#Data],2,FALSE)</f>
        <v>#REF!</v>
      </c>
      <c r="M7" s="13" t="e">
        <f>VLOOKUP(表1[[#This Row],[物品描述]],[1]!表1_8[#Data],2,FALSE)</f>
        <v>#REF!</v>
      </c>
    </row>
    <row r="8" spans="1:27" ht="17.25" x14ac:dyDescent="0.35">
      <c r="A8" s="10" t="s">
        <v>175</v>
      </c>
      <c r="B8" s="11" t="s">
        <v>366</v>
      </c>
      <c r="C8" s="11" t="s">
        <v>367</v>
      </c>
      <c r="D8" s="10">
        <v>9</v>
      </c>
      <c r="E8" s="10">
        <v>-1</v>
      </c>
      <c r="F8" s="10">
        <v>0</v>
      </c>
      <c r="G8" s="10">
        <v>0</v>
      </c>
      <c r="H8" s="10">
        <v>0</v>
      </c>
      <c r="I8" s="10" t="s">
        <v>184</v>
      </c>
      <c r="J8" s="10">
        <v>0</v>
      </c>
      <c r="K8" s="10">
        <v>0</v>
      </c>
      <c r="L8" s="13" t="e">
        <f>VLOOKUP(表1[[#This Row],[物品名称]],[1]!表1_8[#Data],2,FALSE)</f>
        <v>#REF!</v>
      </c>
      <c r="M8" s="13" t="e">
        <f>VLOOKUP(表1[[#This Row],[物品描述]],[1]!表1_8[#Data],2,FALSE)</f>
        <v>#REF!</v>
      </c>
    </row>
    <row r="9" spans="1:27" ht="17.25" x14ac:dyDescent="0.35">
      <c r="A9" s="10" t="s">
        <v>301</v>
      </c>
      <c r="B9" s="11" t="s">
        <v>368</v>
      </c>
      <c r="C9" s="11" t="s">
        <v>369</v>
      </c>
      <c r="D9" s="10">
        <v>7</v>
      </c>
      <c r="E9" s="10">
        <v>-1</v>
      </c>
      <c r="F9" s="10">
        <v>0</v>
      </c>
      <c r="G9" s="10" t="s">
        <v>302</v>
      </c>
      <c r="H9" s="10">
        <v>0</v>
      </c>
      <c r="I9" s="10" t="s">
        <v>332</v>
      </c>
      <c r="J9" s="10">
        <v>0</v>
      </c>
      <c r="K9" s="10">
        <v>0</v>
      </c>
      <c r="L9" s="13" t="e">
        <f>VLOOKUP(表1[[#This Row],[物品名称]],[1]!表1_8[#Data],2,FALSE)</f>
        <v>#REF!</v>
      </c>
      <c r="M9" s="13" t="e">
        <f>VLOOKUP(表1[[#This Row],[物品描述]],[1]!表1_8[#Data],2,FALSE)</f>
        <v>#REF!</v>
      </c>
    </row>
    <row r="10" spans="1:27" ht="17.25" x14ac:dyDescent="0.35">
      <c r="A10" s="10" t="s">
        <v>213</v>
      </c>
      <c r="B10" s="11" t="s">
        <v>370</v>
      </c>
      <c r="C10" s="11" t="s">
        <v>371</v>
      </c>
      <c r="D10" s="10">
        <v>9</v>
      </c>
      <c r="E10" s="10">
        <v>-1</v>
      </c>
      <c r="F10" s="10">
        <v>0</v>
      </c>
      <c r="G10" s="10">
        <v>0</v>
      </c>
      <c r="H10" s="10">
        <v>0</v>
      </c>
      <c r="I10" s="10" t="s">
        <v>184</v>
      </c>
      <c r="J10" s="10">
        <v>0</v>
      </c>
      <c r="K10" s="10">
        <v>0</v>
      </c>
      <c r="L10" s="13" t="e">
        <f>VLOOKUP(表1[[#This Row],[物品名称]],[1]!表1_8[#Data],2,FALSE)</f>
        <v>#REF!</v>
      </c>
      <c r="M10" s="13" t="e">
        <f>VLOOKUP(表1[[#This Row],[物品描述]],[1]!表1_8[#Data],2,FALSE)</f>
        <v>#REF!</v>
      </c>
    </row>
    <row r="11" spans="1:27" ht="17.25" x14ac:dyDescent="0.35">
      <c r="A11" s="10" t="s">
        <v>214</v>
      </c>
      <c r="B11" s="11" t="s">
        <v>372</v>
      </c>
      <c r="C11" s="11" t="s">
        <v>373</v>
      </c>
      <c r="D11" s="10">
        <v>9</v>
      </c>
      <c r="E11" s="10">
        <v>-1</v>
      </c>
      <c r="F11" s="10">
        <v>0</v>
      </c>
      <c r="G11" s="10">
        <v>0</v>
      </c>
      <c r="H11" s="10">
        <v>0</v>
      </c>
      <c r="I11" s="10" t="s">
        <v>215</v>
      </c>
      <c r="J11" s="10">
        <v>0</v>
      </c>
      <c r="K11" s="10">
        <v>0</v>
      </c>
      <c r="L11" s="13" t="e">
        <f>VLOOKUP(表1[[#This Row],[物品名称]],[1]!表1_8[#Data],2,FALSE)</f>
        <v>#REF!</v>
      </c>
      <c r="M11" s="13" t="e">
        <f>VLOOKUP(表1[[#This Row],[物品描述]],[1]!表1_8[#Data],2,FALSE)</f>
        <v>#REF!</v>
      </c>
    </row>
    <row r="12" spans="1:27" ht="17.25" x14ac:dyDescent="0.35">
      <c r="A12" s="10" t="s">
        <v>691</v>
      </c>
      <c r="B12" s="11" t="s">
        <v>692</v>
      </c>
      <c r="C12" s="11" t="s">
        <v>693</v>
      </c>
      <c r="D12" s="10">
        <v>9</v>
      </c>
      <c r="E12" s="10">
        <v>-1</v>
      </c>
      <c r="F12" s="10">
        <v>0</v>
      </c>
      <c r="G12" s="10">
        <v>0</v>
      </c>
      <c r="H12" s="10">
        <v>0</v>
      </c>
      <c r="I12" s="10" t="s">
        <v>694</v>
      </c>
      <c r="J12" s="10">
        <v>0</v>
      </c>
      <c r="K12" s="10">
        <v>0</v>
      </c>
      <c r="L12" s="13" t="e">
        <f>VLOOKUP(表1[[#This Row],[物品名称]],[1]!表1_8[#Data],2,FALSE)</f>
        <v>#REF!</v>
      </c>
      <c r="M12" s="13" t="e">
        <f>VLOOKUP(表1[[#This Row],[物品描述]],[1]!表1_8[#Data],2,FALSE)</f>
        <v>#REF!</v>
      </c>
    </row>
    <row r="13" spans="1:27" ht="17.25" x14ac:dyDescent="0.35">
      <c r="A13" s="10" t="s">
        <v>37</v>
      </c>
      <c r="B13" s="11" t="s">
        <v>374</v>
      </c>
      <c r="C13" s="11" t="s">
        <v>375</v>
      </c>
      <c r="D13" s="10">
        <v>3</v>
      </c>
      <c r="E13" s="10">
        <v>1</v>
      </c>
      <c r="F13" s="10">
        <v>100</v>
      </c>
      <c r="G13" s="10">
        <v>0</v>
      </c>
      <c r="H13" s="10">
        <v>0</v>
      </c>
      <c r="I13" s="10" t="s">
        <v>38</v>
      </c>
      <c r="J13" s="10">
        <v>0</v>
      </c>
      <c r="K13" s="10">
        <v>0</v>
      </c>
      <c r="L13" s="13" t="e">
        <f>VLOOKUP(表1[[#This Row],[物品名称]],[1]!表1_8[#Data],2,FALSE)</f>
        <v>#REF!</v>
      </c>
      <c r="M13" s="13" t="e">
        <f>VLOOKUP(表1[[#This Row],[物品描述]],[1]!表1_8[#Data],2,FALSE)</f>
        <v>#REF!</v>
      </c>
    </row>
    <row r="14" spans="1:27" ht="17.25" x14ac:dyDescent="0.35">
      <c r="A14" s="10" t="s">
        <v>39</v>
      </c>
      <c r="B14" s="11" t="s">
        <v>376</v>
      </c>
      <c r="C14" s="11" t="s">
        <v>377</v>
      </c>
      <c r="D14" s="10">
        <v>3</v>
      </c>
      <c r="E14" s="10">
        <v>2</v>
      </c>
      <c r="F14" s="10">
        <v>100</v>
      </c>
      <c r="G14" s="10">
        <v>0</v>
      </c>
      <c r="H14" s="10">
        <v>0</v>
      </c>
      <c r="I14" s="10" t="s">
        <v>40</v>
      </c>
      <c r="J14" s="10">
        <v>0</v>
      </c>
      <c r="K14" s="10">
        <v>0</v>
      </c>
      <c r="L14" s="13" t="e">
        <f>VLOOKUP(表1[[#This Row],[物品名称]],[1]!表1_8[#Data],2,FALSE)</f>
        <v>#REF!</v>
      </c>
      <c r="M14" s="13" t="e">
        <f>VLOOKUP(表1[[#This Row],[物品描述]],[1]!表1_8[#Data],2,FALSE)</f>
        <v>#REF!</v>
      </c>
    </row>
    <row r="15" spans="1:27" ht="17.25" x14ac:dyDescent="0.35">
      <c r="A15" s="10" t="s">
        <v>41</v>
      </c>
      <c r="B15" s="11" t="s">
        <v>378</v>
      </c>
      <c r="C15" s="11" t="s">
        <v>379</v>
      </c>
      <c r="D15" s="10">
        <v>3</v>
      </c>
      <c r="E15" s="10">
        <v>3</v>
      </c>
      <c r="F15" s="10">
        <v>100</v>
      </c>
      <c r="G15" s="10">
        <v>0</v>
      </c>
      <c r="H15" s="10">
        <v>0</v>
      </c>
      <c r="I15" s="10" t="s">
        <v>42</v>
      </c>
      <c r="J15" s="10">
        <v>0</v>
      </c>
      <c r="K15" s="10">
        <v>0</v>
      </c>
      <c r="L15" s="13" t="e">
        <f>VLOOKUP(表1[[#This Row],[物品名称]],[1]!表1_8[#Data],2,FALSE)</f>
        <v>#REF!</v>
      </c>
      <c r="M15" s="13" t="e">
        <f>VLOOKUP(表1[[#This Row],[物品描述]],[1]!表1_8[#Data],2,FALSE)</f>
        <v>#REF!</v>
      </c>
    </row>
    <row r="16" spans="1:27" ht="17.25" x14ac:dyDescent="0.35">
      <c r="A16" s="10" t="s">
        <v>43</v>
      </c>
      <c r="B16" s="11" t="s">
        <v>380</v>
      </c>
      <c r="C16" s="11" t="s">
        <v>381</v>
      </c>
      <c r="D16" s="10">
        <v>3</v>
      </c>
      <c r="E16" s="10">
        <v>4</v>
      </c>
      <c r="F16" s="10">
        <v>100</v>
      </c>
      <c r="G16" s="10">
        <v>0</v>
      </c>
      <c r="H16" s="10">
        <v>0</v>
      </c>
      <c r="I16" s="10" t="s">
        <v>44</v>
      </c>
      <c r="J16" s="10">
        <v>0</v>
      </c>
      <c r="K16" s="10">
        <v>0</v>
      </c>
      <c r="L16" s="13" t="e">
        <f>VLOOKUP(表1[[#This Row],[物品名称]],[1]!表1_8[#Data],2,FALSE)</f>
        <v>#REF!</v>
      </c>
      <c r="M16" s="13" t="e">
        <f>VLOOKUP(表1[[#This Row],[物品描述]],[1]!表1_8[#Data],2,FALSE)</f>
        <v>#REF!</v>
      </c>
    </row>
    <row r="17" spans="1:13" ht="17.25" x14ac:dyDescent="0.35">
      <c r="A17" s="10" t="s">
        <v>45</v>
      </c>
      <c r="B17" s="11" t="s">
        <v>382</v>
      </c>
      <c r="C17" s="11" t="s">
        <v>383</v>
      </c>
      <c r="D17" s="10">
        <v>3</v>
      </c>
      <c r="E17" s="10">
        <v>8</v>
      </c>
      <c r="F17" s="10">
        <v>20000</v>
      </c>
      <c r="G17" s="10">
        <v>0</v>
      </c>
      <c r="H17" s="10">
        <v>0</v>
      </c>
      <c r="I17" s="14" t="s">
        <v>46</v>
      </c>
      <c r="J17" s="10">
        <v>0</v>
      </c>
      <c r="K17" s="10">
        <v>0</v>
      </c>
      <c r="L17" s="13" t="e">
        <f>VLOOKUP(表1[[#This Row],[物品名称]],[1]!表1_8[#Data],2,FALSE)</f>
        <v>#REF!</v>
      </c>
      <c r="M17" s="13" t="e">
        <f>VLOOKUP(表1[[#This Row],[物品描述]],[1]!表1_8[#Data],2,FALSE)</f>
        <v>#REF!</v>
      </c>
    </row>
    <row r="18" spans="1:13" ht="17.25" x14ac:dyDescent="0.35">
      <c r="A18" s="10" t="s">
        <v>47</v>
      </c>
      <c r="B18" s="11" t="s">
        <v>384</v>
      </c>
      <c r="C18" s="11" t="s">
        <v>385</v>
      </c>
      <c r="D18" s="10">
        <v>3</v>
      </c>
      <c r="E18" s="10">
        <v>9</v>
      </c>
      <c r="F18" s="10">
        <v>60000</v>
      </c>
      <c r="G18" s="10">
        <v>0</v>
      </c>
      <c r="H18" s="10">
        <v>0</v>
      </c>
      <c r="I18" s="14" t="s">
        <v>48</v>
      </c>
      <c r="J18" s="10">
        <v>0</v>
      </c>
      <c r="K18" s="10">
        <v>0</v>
      </c>
      <c r="L18" s="13" t="e">
        <f>VLOOKUP(表1[[#This Row],[物品名称]],[1]!表1_8[#Data],2,FALSE)</f>
        <v>#REF!</v>
      </c>
      <c r="M18" s="13" t="e">
        <f>VLOOKUP(表1[[#This Row],[物品描述]],[1]!表1_8[#Data],2,FALSE)</f>
        <v>#REF!</v>
      </c>
    </row>
    <row r="19" spans="1:13" ht="17.25" x14ac:dyDescent="0.35">
      <c r="A19" s="10" t="s">
        <v>49</v>
      </c>
      <c r="B19" s="11" t="s">
        <v>386</v>
      </c>
      <c r="C19" s="11" t="s">
        <v>387</v>
      </c>
      <c r="D19" s="10">
        <v>3</v>
      </c>
      <c r="E19" s="10">
        <v>10</v>
      </c>
      <c r="F19" s="10">
        <v>200000</v>
      </c>
      <c r="G19" s="10">
        <v>0</v>
      </c>
      <c r="H19" s="10">
        <v>0</v>
      </c>
      <c r="I19" s="14" t="s">
        <v>50</v>
      </c>
      <c r="J19" s="10">
        <v>0</v>
      </c>
      <c r="K19" s="10">
        <v>0</v>
      </c>
      <c r="L19" s="13" t="e">
        <f>VLOOKUP(表1[[#This Row],[物品名称]],[1]!表1_8[#Data],2,FALSE)</f>
        <v>#REF!</v>
      </c>
      <c r="M19" s="13" t="e">
        <f>VLOOKUP(表1[[#This Row],[物品描述]],[1]!表1_8[#Data],2,FALSE)</f>
        <v>#REF!</v>
      </c>
    </row>
    <row r="20" spans="1:13" ht="17.25" x14ac:dyDescent="0.35">
      <c r="A20" s="10" t="s">
        <v>51</v>
      </c>
      <c r="B20" s="11" t="s">
        <v>388</v>
      </c>
      <c r="C20" s="11" t="s">
        <v>389</v>
      </c>
      <c r="D20" s="10">
        <v>4</v>
      </c>
      <c r="E20" s="10">
        <v>-1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3" t="e">
        <f>VLOOKUP(表1[[#This Row],[物品名称]],[1]!表1_8[#Data],2,FALSE)</f>
        <v>#REF!</v>
      </c>
      <c r="M20" s="13" t="e">
        <f>VLOOKUP(表1[[#This Row],[物品描述]],[1]!表1_8[#Data],2,FALSE)</f>
        <v>#REF!</v>
      </c>
    </row>
    <row r="21" spans="1:13" ht="17.25" x14ac:dyDescent="0.35">
      <c r="A21" s="10" t="s">
        <v>52</v>
      </c>
      <c r="B21" s="11" t="s">
        <v>390</v>
      </c>
      <c r="C21" s="11" t="s">
        <v>391</v>
      </c>
      <c r="D21" s="10">
        <v>5</v>
      </c>
      <c r="E21" s="10">
        <v>-1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3" t="e">
        <f>VLOOKUP(表1[[#This Row],[物品名称]],[1]!表1_8[#Data],2,FALSE)</f>
        <v>#REF!</v>
      </c>
      <c r="M21" s="13" t="e">
        <f>VLOOKUP(表1[[#This Row],[物品描述]],[1]!表1_8[#Data],2,FALSE)</f>
        <v>#REF!</v>
      </c>
    </row>
    <row r="22" spans="1:13" ht="17.25" x14ac:dyDescent="0.35">
      <c r="A22" s="10" t="s">
        <v>53</v>
      </c>
      <c r="B22" s="11" t="s">
        <v>392</v>
      </c>
      <c r="C22" s="11" t="s">
        <v>393</v>
      </c>
      <c r="D22" s="10">
        <v>5</v>
      </c>
      <c r="E22" s="10">
        <v>-1</v>
      </c>
      <c r="F22" s="10">
        <v>0</v>
      </c>
      <c r="G22" s="10">
        <v>0</v>
      </c>
      <c r="H22" s="10">
        <v>0</v>
      </c>
      <c r="I22" s="10" t="s">
        <v>54</v>
      </c>
      <c r="J22" s="10">
        <v>0</v>
      </c>
      <c r="K22" s="10">
        <v>0</v>
      </c>
      <c r="L22" s="13" t="e">
        <f>VLOOKUP(表1[[#This Row],[物品名称]],[1]!表1_8[#Data],2,FALSE)</f>
        <v>#REF!</v>
      </c>
      <c r="M22" s="13" t="e">
        <f>VLOOKUP(表1[[#This Row],[物品描述]],[1]!表1_8[#Data],2,FALSE)</f>
        <v>#REF!</v>
      </c>
    </row>
    <row r="23" spans="1:13" ht="17.25" x14ac:dyDescent="0.35">
      <c r="A23" s="10" t="s">
        <v>55</v>
      </c>
      <c r="B23" s="11" t="s">
        <v>394</v>
      </c>
      <c r="C23" s="11" t="s">
        <v>395</v>
      </c>
      <c r="D23" s="10">
        <v>5</v>
      </c>
      <c r="E23" s="10">
        <v>-1</v>
      </c>
      <c r="F23" s="10">
        <v>0</v>
      </c>
      <c r="G23" s="10">
        <v>0</v>
      </c>
      <c r="H23" s="10">
        <v>0</v>
      </c>
      <c r="I23" s="10" t="s">
        <v>56</v>
      </c>
      <c r="J23" s="10">
        <v>0</v>
      </c>
      <c r="K23" s="10">
        <v>0</v>
      </c>
      <c r="L23" s="13" t="e">
        <f>VLOOKUP(表1[[#This Row],[物品名称]],[1]!表1_8[#Data],2,FALSE)</f>
        <v>#REF!</v>
      </c>
      <c r="M23" s="13" t="e">
        <f>VLOOKUP(表1[[#This Row],[物品描述]],[1]!表1_8[#Data],2,FALSE)</f>
        <v>#REF!</v>
      </c>
    </row>
    <row r="24" spans="1:13" ht="17.25" x14ac:dyDescent="0.35">
      <c r="A24" s="10" t="s">
        <v>57</v>
      </c>
      <c r="B24" s="11" t="s">
        <v>396</v>
      </c>
      <c r="C24" s="11" t="s">
        <v>397</v>
      </c>
      <c r="D24" s="10">
        <v>6</v>
      </c>
      <c r="E24" s="10">
        <v>-1</v>
      </c>
      <c r="F24" s="10">
        <v>0</v>
      </c>
      <c r="G24" s="10">
        <v>0</v>
      </c>
      <c r="H24" s="10">
        <v>0</v>
      </c>
      <c r="I24" s="10" t="s">
        <v>58</v>
      </c>
      <c r="J24" s="10">
        <v>0</v>
      </c>
      <c r="K24" s="10">
        <v>0</v>
      </c>
      <c r="L24" s="13" t="e">
        <f>VLOOKUP(表1[[#This Row],[物品名称]],[1]!表1_8[#Data],2,FALSE)</f>
        <v>#REF!</v>
      </c>
      <c r="M24" s="13" t="e">
        <f>VLOOKUP(表1[[#This Row],[物品描述]],[1]!表1_8[#Data],2,FALSE)</f>
        <v>#REF!</v>
      </c>
    </row>
    <row r="25" spans="1:13" ht="17.25" x14ac:dyDescent="0.35">
      <c r="A25" s="10" t="s">
        <v>59</v>
      </c>
      <c r="B25" s="11" t="s">
        <v>398</v>
      </c>
      <c r="C25" s="11" t="s">
        <v>399</v>
      </c>
      <c r="D25" s="10">
        <v>6</v>
      </c>
      <c r="E25" s="10">
        <v>-1</v>
      </c>
      <c r="F25" s="10">
        <v>0</v>
      </c>
      <c r="G25" s="10">
        <v>0</v>
      </c>
      <c r="H25" s="10">
        <v>0</v>
      </c>
      <c r="I25" s="10" t="s">
        <v>60</v>
      </c>
      <c r="J25" s="10">
        <v>0</v>
      </c>
      <c r="K25" s="10">
        <v>0</v>
      </c>
      <c r="L25" s="13" t="e">
        <f>VLOOKUP(表1[[#This Row],[物品名称]],[1]!表1_8[#Data],2,FALSE)</f>
        <v>#REF!</v>
      </c>
      <c r="M25" s="13" t="e">
        <f>VLOOKUP(表1[[#This Row],[物品描述]],[1]!表1_8[#Data],2,FALSE)</f>
        <v>#REF!</v>
      </c>
    </row>
    <row r="26" spans="1:13" ht="17.25" x14ac:dyDescent="0.35">
      <c r="A26" s="10" t="s">
        <v>61</v>
      </c>
      <c r="B26" s="11" t="s">
        <v>400</v>
      </c>
      <c r="C26" s="11" t="s">
        <v>401</v>
      </c>
      <c r="D26" s="10">
        <v>7</v>
      </c>
      <c r="E26" s="10">
        <v>-1</v>
      </c>
      <c r="F26" s="10">
        <v>0</v>
      </c>
      <c r="G26" s="10" t="s">
        <v>61</v>
      </c>
      <c r="H26" s="10">
        <v>30</v>
      </c>
      <c r="I26" s="10" t="s">
        <v>62</v>
      </c>
      <c r="J26" s="10">
        <v>0</v>
      </c>
      <c r="K26" s="10">
        <v>0</v>
      </c>
      <c r="L26" s="12" t="e">
        <f>VLOOKUP(表1[[#This Row],[物品名称]],[1]!表1_8[#Data],2,FALSE)</f>
        <v>#REF!</v>
      </c>
      <c r="M26" s="12" t="e">
        <f>VLOOKUP(表1[[#This Row],[物品描述]],[1]!表1_8[#Data],2,FALSE)</f>
        <v>#REF!</v>
      </c>
    </row>
    <row r="27" spans="1:13" ht="17.25" x14ac:dyDescent="0.35">
      <c r="A27" s="10" t="s">
        <v>63</v>
      </c>
      <c r="B27" s="11" t="s">
        <v>402</v>
      </c>
      <c r="C27" s="11" t="s">
        <v>403</v>
      </c>
      <c r="D27" s="10">
        <v>7</v>
      </c>
      <c r="E27" s="10">
        <v>-1</v>
      </c>
      <c r="F27" s="10">
        <v>0</v>
      </c>
      <c r="G27" s="10" t="s">
        <v>63</v>
      </c>
      <c r="H27" s="10">
        <v>0</v>
      </c>
      <c r="I27" s="10" t="s">
        <v>64</v>
      </c>
      <c r="J27" s="10">
        <v>0</v>
      </c>
      <c r="K27" s="10">
        <v>0</v>
      </c>
      <c r="L27" s="12" t="e">
        <f>VLOOKUP(表1[[#This Row],[物品名称]],[1]!表1_8[#Data],2,FALSE)</f>
        <v>#REF!</v>
      </c>
      <c r="M27" s="12" t="e">
        <f>VLOOKUP(表1[[#This Row],[物品描述]],[1]!表1_8[#Data],2,FALSE)</f>
        <v>#REF!</v>
      </c>
    </row>
    <row r="28" spans="1:13" ht="17.25" x14ac:dyDescent="0.35">
      <c r="A28" s="10" t="s">
        <v>65</v>
      </c>
      <c r="B28" s="11" t="s">
        <v>404</v>
      </c>
      <c r="C28" s="11" t="s">
        <v>405</v>
      </c>
      <c r="D28" s="10">
        <v>7</v>
      </c>
      <c r="E28" s="10">
        <v>-1</v>
      </c>
      <c r="F28" s="10">
        <v>0</v>
      </c>
      <c r="G28" s="10" t="s">
        <v>65</v>
      </c>
      <c r="H28" s="10">
        <v>0</v>
      </c>
      <c r="I28" s="10" t="s">
        <v>66</v>
      </c>
      <c r="J28" s="10">
        <v>0</v>
      </c>
      <c r="K28" s="10">
        <v>0</v>
      </c>
      <c r="L28" s="12" t="e">
        <f>VLOOKUP(表1[[#This Row],[物品名称]],[1]!表1_8[#Data],2,FALSE)</f>
        <v>#REF!</v>
      </c>
      <c r="M28" s="12" t="e">
        <f>VLOOKUP(表1[[#This Row],[物品描述]],[1]!表1_8[#Data],2,FALSE)</f>
        <v>#REF!</v>
      </c>
    </row>
    <row r="29" spans="1:13" ht="17.25" x14ac:dyDescent="0.35">
      <c r="A29" s="10" t="s">
        <v>67</v>
      </c>
      <c r="B29" s="11" t="s">
        <v>406</v>
      </c>
      <c r="C29" s="11" t="s">
        <v>407</v>
      </c>
      <c r="D29" s="10">
        <v>7</v>
      </c>
      <c r="E29" s="10">
        <v>-1</v>
      </c>
      <c r="F29" s="10">
        <v>0</v>
      </c>
      <c r="G29" s="10" t="s">
        <v>67</v>
      </c>
      <c r="H29" s="10">
        <v>0</v>
      </c>
      <c r="I29" s="10" t="s">
        <v>68</v>
      </c>
      <c r="J29" s="10">
        <v>0</v>
      </c>
      <c r="K29" s="10">
        <v>0</v>
      </c>
      <c r="L29" s="12" t="e">
        <f>VLOOKUP(表1[[#This Row],[物品名称]],[1]!表1_8[#Data],2,FALSE)</f>
        <v>#REF!</v>
      </c>
      <c r="M29" s="12" t="e">
        <f>VLOOKUP(表1[[#This Row],[物品描述]],[1]!表1_8[#Data],2,FALSE)</f>
        <v>#REF!</v>
      </c>
    </row>
    <row r="30" spans="1:13" ht="17.25" x14ac:dyDescent="0.35">
      <c r="A30" s="10" t="s">
        <v>69</v>
      </c>
      <c r="B30" s="11" t="s">
        <v>408</v>
      </c>
      <c r="C30" s="11" t="s">
        <v>409</v>
      </c>
      <c r="D30" s="10">
        <v>7</v>
      </c>
      <c r="E30" s="10">
        <v>-1</v>
      </c>
      <c r="F30" s="10">
        <v>0</v>
      </c>
      <c r="G30" s="10" t="s">
        <v>69</v>
      </c>
      <c r="H30" s="10">
        <v>0</v>
      </c>
      <c r="I30" s="10" t="s">
        <v>70</v>
      </c>
      <c r="J30" s="10">
        <v>0</v>
      </c>
      <c r="K30" s="10">
        <v>0</v>
      </c>
      <c r="L30" s="12" t="e">
        <f>VLOOKUP(表1[[#This Row],[物品名称]],[1]!表1_8[#Data],2,FALSE)</f>
        <v>#REF!</v>
      </c>
      <c r="M30" s="12" t="e">
        <f>VLOOKUP(表1[[#This Row],[物品描述]],[1]!表1_8[#Data],2,FALSE)</f>
        <v>#REF!</v>
      </c>
    </row>
    <row r="31" spans="1:13" ht="17.25" x14ac:dyDescent="0.35">
      <c r="A31" s="10" t="s">
        <v>71</v>
      </c>
      <c r="B31" s="11" t="s">
        <v>410</v>
      </c>
      <c r="C31" s="11" t="s">
        <v>411</v>
      </c>
      <c r="D31" s="10">
        <v>7</v>
      </c>
      <c r="E31" s="10">
        <v>-1</v>
      </c>
      <c r="F31" s="10">
        <v>0</v>
      </c>
      <c r="G31" s="10" t="s">
        <v>71</v>
      </c>
      <c r="H31" s="10">
        <v>0</v>
      </c>
      <c r="I31" s="10" t="s">
        <v>72</v>
      </c>
      <c r="J31" s="10">
        <v>0</v>
      </c>
      <c r="K31" s="10">
        <v>0</v>
      </c>
      <c r="L31" s="12" t="e">
        <f>VLOOKUP(表1[[#This Row],[物品名称]],[1]!表1_8[#Data],2,FALSE)</f>
        <v>#REF!</v>
      </c>
      <c r="M31" s="12" t="e">
        <f>VLOOKUP(表1[[#This Row],[物品描述]],[1]!表1_8[#Data],2,FALSE)</f>
        <v>#REF!</v>
      </c>
    </row>
    <row r="32" spans="1:13" ht="17.25" x14ac:dyDescent="0.35">
      <c r="A32" s="10" t="s">
        <v>247</v>
      </c>
      <c r="B32" s="11" t="s">
        <v>412</v>
      </c>
      <c r="C32" s="11" t="s">
        <v>413</v>
      </c>
      <c r="D32" s="10">
        <v>7</v>
      </c>
      <c r="E32" s="10">
        <v>-1</v>
      </c>
      <c r="F32" s="10">
        <v>0</v>
      </c>
      <c r="G32" s="10" t="s">
        <v>247</v>
      </c>
      <c r="H32" s="10">
        <v>0</v>
      </c>
      <c r="I32" s="10" t="s">
        <v>248</v>
      </c>
      <c r="J32" s="10">
        <v>0</v>
      </c>
      <c r="K32" s="10">
        <v>0</v>
      </c>
      <c r="L32" s="12" t="e">
        <f>VLOOKUP(表1[[#This Row],[物品名称]],[1]!表1_8[#Data],2,FALSE)</f>
        <v>#REF!</v>
      </c>
      <c r="M32" s="12" t="e">
        <f>VLOOKUP(表1[[#This Row],[物品描述]],[1]!表1_8[#Data],2,FALSE)</f>
        <v>#REF!</v>
      </c>
    </row>
    <row r="33" spans="1:15" ht="17.25" x14ac:dyDescent="0.35">
      <c r="A33" s="10" t="s">
        <v>73</v>
      </c>
      <c r="B33" s="11" t="s">
        <v>414</v>
      </c>
      <c r="C33" s="11" t="s">
        <v>415</v>
      </c>
      <c r="D33" s="10">
        <v>7</v>
      </c>
      <c r="E33" s="10">
        <v>-1</v>
      </c>
      <c r="F33" s="10">
        <v>0</v>
      </c>
      <c r="G33" s="10" t="s">
        <v>73</v>
      </c>
      <c r="H33" s="10">
        <v>0</v>
      </c>
      <c r="I33" s="10" t="s">
        <v>210</v>
      </c>
      <c r="J33" s="10">
        <v>0</v>
      </c>
      <c r="K33" s="10">
        <v>0</v>
      </c>
      <c r="L33" s="12" t="e">
        <f>VLOOKUP(表1[[#This Row],[物品名称]],[1]!表1_8[#Data],2,FALSE)</f>
        <v>#REF!</v>
      </c>
      <c r="M33" s="12" t="e">
        <f>VLOOKUP(表1[[#This Row],[物品描述]],[1]!表1_8[#Data],2,FALSE)</f>
        <v>#REF!</v>
      </c>
    </row>
    <row r="34" spans="1:15" ht="17.25" x14ac:dyDescent="0.35">
      <c r="A34" s="10" t="s">
        <v>75</v>
      </c>
      <c r="B34" s="11" t="s">
        <v>416</v>
      </c>
      <c r="C34" s="11" t="s">
        <v>417</v>
      </c>
      <c r="D34" s="10">
        <v>7</v>
      </c>
      <c r="E34" s="10">
        <v>-1</v>
      </c>
      <c r="F34" s="10">
        <v>0</v>
      </c>
      <c r="G34" s="10" t="s">
        <v>75</v>
      </c>
      <c r="H34" s="10">
        <v>0</v>
      </c>
      <c r="I34" s="10" t="s">
        <v>211</v>
      </c>
      <c r="J34" s="10">
        <v>0</v>
      </c>
      <c r="K34" s="10">
        <v>0</v>
      </c>
      <c r="L34" s="12" t="e">
        <f>VLOOKUP(表1[[#This Row],[物品名称]],[1]!表1_8[#Data],2,FALSE)</f>
        <v>#REF!</v>
      </c>
      <c r="M34" s="12" t="e">
        <f>VLOOKUP(表1[[#This Row],[物品描述]],[1]!表1_8[#Data],2,FALSE)</f>
        <v>#REF!</v>
      </c>
    </row>
    <row r="35" spans="1:15" ht="17.25" x14ac:dyDescent="0.35">
      <c r="A35" s="10" t="s">
        <v>164</v>
      </c>
      <c r="B35" s="11" t="s">
        <v>418</v>
      </c>
      <c r="C35" s="11" t="s">
        <v>419</v>
      </c>
      <c r="D35" s="10">
        <v>7</v>
      </c>
      <c r="E35" s="10">
        <v>-1</v>
      </c>
      <c r="F35" s="10">
        <v>0</v>
      </c>
      <c r="G35" s="10" t="s">
        <v>164</v>
      </c>
      <c r="H35" s="10">
        <v>0</v>
      </c>
      <c r="I35" s="10" t="s">
        <v>212</v>
      </c>
      <c r="J35" s="10">
        <v>0</v>
      </c>
      <c r="K35" s="10">
        <v>0</v>
      </c>
      <c r="L35" s="12" t="e">
        <f>VLOOKUP(表1[[#This Row],[物品名称]],[1]!表1_8[#Data],2,FALSE)</f>
        <v>#REF!</v>
      </c>
      <c r="M35" s="12" t="e">
        <f>VLOOKUP(表1[[#This Row],[物品描述]],[1]!表1_8[#Data],2,FALSE)</f>
        <v>#REF!</v>
      </c>
    </row>
    <row r="36" spans="1:15" ht="17.25" x14ac:dyDescent="0.35">
      <c r="A36" s="10" t="s">
        <v>165</v>
      </c>
      <c r="B36" s="11" t="s">
        <v>420</v>
      </c>
      <c r="C36" s="11" t="s">
        <v>421</v>
      </c>
      <c r="D36" s="10">
        <v>7</v>
      </c>
      <c r="E36" s="10">
        <v>-1</v>
      </c>
      <c r="F36" s="10">
        <v>0</v>
      </c>
      <c r="G36" s="10" t="s">
        <v>165</v>
      </c>
      <c r="H36" s="10">
        <v>0</v>
      </c>
      <c r="I36" s="10" t="s">
        <v>74</v>
      </c>
      <c r="J36" s="10">
        <v>0</v>
      </c>
      <c r="K36" s="10">
        <v>0</v>
      </c>
      <c r="L36" s="12" t="e">
        <f>VLOOKUP(表1[[#This Row],[物品名称]],[1]!表1_8[#Data],2,FALSE)</f>
        <v>#REF!</v>
      </c>
      <c r="M36" s="12" t="e">
        <f>VLOOKUP(表1[[#This Row],[物品描述]],[1]!表1_8[#Data],2,FALSE)</f>
        <v>#REF!</v>
      </c>
    </row>
    <row r="37" spans="1:15" ht="17.25" x14ac:dyDescent="0.35">
      <c r="A37" s="10" t="s">
        <v>166</v>
      </c>
      <c r="B37" s="11" t="s">
        <v>422</v>
      </c>
      <c r="C37" s="11" t="s">
        <v>423</v>
      </c>
      <c r="D37" s="10">
        <v>7</v>
      </c>
      <c r="E37" s="10">
        <v>-1</v>
      </c>
      <c r="F37" s="10">
        <v>0</v>
      </c>
      <c r="G37" s="10" t="s">
        <v>166</v>
      </c>
      <c r="H37" s="10">
        <v>0</v>
      </c>
      <c r="I37" s="10" t="s">
        <v>74</v>
      </c>
      <c r="J37" s="10">
        <v>0</v>
      </c>
      <c r="K37" s="10">
        <v>0</v>
      </c>
      <c r="L37" s="12" t="e">
        <f>VLOOKUP(表1[[#This Row],[物品名称]],[1]!表1_8[#Data],2,FALSE)</f>
        <v>#REF!</v>
      </c>
      <c r="M37" s="12" t="e">
        <f>VLOOKUP(表1[[#This Row],[物品描述]],[1]!表1_8[#Data],2,FALSE)</f>
        <v>#REF!</v>
      </c>
    </row>
    <row r="38" spans="1:15" ht="17.25" x14ac:dyDescent="0.35">
      <c r="A38" s="10" t="s">
        <v>167</v>
      </c>
      <c r="B38" s="11" t="s">
        <v>424</v>
      </c>
      <c r="C38" s="11" t="s">
        <v>425</v>
      </c>
      <c r="D38" s="10">
        <v>7</v>
      </c>
      <c r="E38" s="10">
        <v>-1</v>
      </c>
      <c r="F38" s="10">
        <v>0</v>
      </c>
      <c r="G38" s="10" t="s">
        <v>167</v>
      </c>
      <c r="H38" s="10">
        <v>0</v>
      </c>
      <c r="I38" s="10" t="s">
        <v>74</v>
      </c>
      <c r="J38" s="10">
        <v>0</v>
      </c>
      <c r="K38" s="10">
        <v>0</v>
      </c>
      <c r="L38" s="12" t="e">
        <f>VLOOKUP(表1[[#This Row],[物品名称]],[1]!表1_8[#Data],2,FALSE)</f>
        <v>#REF!</v>
      </c>
      <c r="M38" s="12" t="e">
        <f>VLOOKUP(表1[[#This Row],[物品描述]],[1]!表1_8[#Data],2,FALSE)</f>
        <v>#REF!</v>
      </c>
    </row>
    <row r="39" spans="1:15" ht="17.25" x14ac:dyDescent="0.35">
      <c r="A39" s="10" t="s">
        <v>168</v>
      </c>
      <c r="B39" s="11" t="s">
        <v>426</v>
      </c>
      <c r="C39" s="11" t="s">
        <v>427</v>
      </c>
      <c r="D39" s="10">
        <v>7</v>
      </c>
      <c r="E39" s="10">
        <v>-1</v>
      </c>
      <c r="F39" s="10">
        <v>0</v>
      </c>
      <c r="G39" s="10" t="s">
        <v>168</v>
      </c>
      <c r="H39" s="10">
        <v>0</v>
      </c>
      <c r="I39" s="10" t="s">
        <v>74</v>
      </c>
      <c r="J39" s="10">
        <v>0</v>
      </c>
      <c r="K39" s="10">
        <v>0</v>
      </c>
      <c r="L39" s="12" t="e">
        <f>VLOOKUP(表1[[#This Row],[物品名称]],[1]!表1_8[#Data],2,FALSE)</f>
        <v>#REF!</v>
      </c>
      <c r="M39" s="12" t="e">
        <f>VLOOKUP(表1[[#This Row],[物品描述]],[1]!表1_8[#Data],2,FALSE)</f>
        <v>#REF!</v>
      </c>
      <c r="O39" s="6" t="s">
        <v>209</v>
      </c>
    </row>
    <row r="40" spans="1:15" ht="17.25" x14ac:dyDescent="0.35">
      <c r="A40" s="10" t="s">
        <v>169</v>
      </c>
      <c r="B40" s="11" t="s">
        <v>428</v>
      </c>
      <c r="C40" s="11" t="s">
        <v>429</v>
      </c>
      <c r="D40" s="10">
        <v>7</v>
      </c>
      <c r="E40" s="10">
        <v>-1</v>
      </c>
      <c r="F40" s="10">
        <v>0</v>
      </c>
      <c r="G40" s="10" t="s">
        <v>169</v>
      </c>
      <c r="H40" s="10">
        <v>0</v>
      </c>
      <c r="I40" s="10" t="s">
        <v>74</v>
      </c>
      <c r="J40" s="10">
        <v>0</v>
      </c>
      <c r="K40" s="10">
        <v>0</v>
      </c>
      <c r="L40" s="12" t="e">
        <f>VLOOKUP(表1[[#This Row],[物品名称]],[1]!表1_8[#Data],2,FALSE)</f>
        <v>#REF!</v>
      </c>
      <c r="M40" s="12" t="e">
        <f>VLOOKUP(表1[[#This Row],[物品描述]],[1]!表1_8[#Data],2,FALSE)</f>
        <v>#REF!</v>
      </c>
      <c r="O40" s="6" t="s">
        <v>202</v>
      </c>
    </row>
    <row r="41" spans="1:15" ht="17.25" x14ac:dyDescent="0.35">
      <c r="A41" s="10" t="s">
        <v>170</v>
      </c>
      <c r="B41" s="11" t="s">
        <v>430</v>
      </c>
      <c r="C41" s="11" t="s">
        <v>431</v>
      </c>
      <c r="D41" s="10">
        <v>7</v>
      </c>
      <c r="E41" s="10">
        <v>-1</v>
      </c>
      <c r="F41" s="10">
        <v>0</v>
      </c>
      <c r="G41" s="10" t="s">
        <v>170</v>
      </c>
      <c r="H41" s="10">
        <v>0</v>
      </c>
      <c r="I41" s="10" t="s">
        <v>74</v>
      </c>
      <c r="J41" s="10">
        <v>0</v>
      </c>
      <c r="K41" s="10">
        <v>0</v>
      </c>
      <c r="L41" s="12" t="e">
        <f>VLOOKUP(表1[[#This Row],[物品名称]],[1]!表1_8[#Data],2,FALSE)</f>
        <v>#REF!</v>
      </c>
      <c r="M41" s="12" t="e">
        <f>VLOOKUP(表1[[#This Row],[物品描述]],[1]!表1_8[#Data],2,FALSE)</f>
        <v>#REF!</v>
      </c>
      <c r="O41" s="6" t="s">
        <v>203</v>
      </c>
    </row>
    <row r="42" spans="1:15" ht="17.25" x14ac:dyDescent="0.35">
      <c r="A42" s="10" t="s">
        <v>171</v>
      </c>
      <c r="B42" s="11" t="s">
        <v>432</v>
      </c>
      <c r="C42" s="11" t="s">
        <v>433</v>
      </c>
      <c r="D42" s="10">
        <v>7</v>
      </c>
      <c r="E42" s="10">
        <v>-1</v>
      </c>
      <c r="F42" s="10">
        <v>0</v>
      </c>
      <c r="G42" s="10" t="s">
        <v>171</v>
      </c>
      <c r="H42" s="10">
        <v>0</v>
      </c>
      <c r="I42" s="10" t="s">
        <v>74</v>
      </c>
      <c r="J42" s="10">
        <v>0</v>
      </c>
      <c r="K42" s="10">
        <v>0</v>
      </c>
      <c r="L42" s="12" t="e">
        <f>VLOOKUP(表1[[#This Row],[物品名称]],[1]!表1_8[#Data],2,FALSE)</f>
        <v>#REF!</v>
      </c>
      <c r="M42" s="12" t="e">
        <f>VLOOKUP(表1[[#This Row],[物品描述]],[1]!表1_8[#Data],2,FALSE)</f>
        <v>#REF!</v>
      </c>
      <c r="O42" s="6" t="s">
        <v>204</v>
      </c>
    </row>
    <row r="43" spans="1:15" ht="17.25" x14ac:dyDescent="0.35">
      <c r="A43" s="10" t="s">
        <v>196</v>
      </c>
      <c r="B43" s="11" t="s">
        <v>434</v>
      </c>
      <c r="C43" s="11" t="s">
        <v>435</v>
      </c>
      <c r="D43" s="10">
        <v>7</v>
      </c>
      <c r="E43" s="10">
        <v>-1</v>
      </c>
      <c r="F43" s="10">
        <v>0</v>
      </c>
      <c r="G43" s="10" t="s">
        <v>207</v>
      </c>
      <c r="H43" s="10">
        <v>0</v>
      </c>
      <c r="I43" s="10" t="s">
        <v>209</v>
      </c>
      <c r="J43" s="10">
        <v>0</v>
      </c>
      <c r="K43" s="10">
        <v>0</v>
      </c>
      <c r="L43" s="13" t="e">
        <f>VLOOKUP(表1[[#This Row],[物品名称]],[1]!表1_8[#Data],2,FALSE)</f>
        <v>#REF!</v>
      </c>
      <c r="M43" s="13" t="e">
        <f>VLOOKUP(表1[[#This Row],[物品描述]],[1]!表1_8[#Data],2,FALSE)</f>
        <v>#REF!</v>
      </c>
      <c r="O43" s="6" t="s">
        <v>205</v>
      </c>
    </row>
    <row r="44" spans="1:15" ht="17.25" x14ac:dyDescent="0.35">
      <c r="A44" s="10" t="s">
        <v>197</v>
      </c>
      <c r="B44" s="11" t="s">
        <v>436</v>
      </c>
      <c r="C44" s="11" t="s">
        <v>437</v>
      </c>
      <c r="D44" s="10">
        <v>9</v>
      </c>
      <c r="E44" s="10">
        <v>-1</v>
      </c>
      <c r="F44" s="10">
        <v>100</v>
      </c>
      <c r="G44" s="10">
        <v>0</v>
      </c>
      <c r="H44" s="10">
        <v>0</v>
      </c>
      <c r="I44" s="10" t="s">
        <v>202</v>
      </c>
      <c r="J44" s="10">
        <v>0</v>
      </c>
      <c r="K44" s="10">
        <v>0</v>
      </c>
      <c r="L44" s="13" t="e">
        <f>VLOOKUP(表1[[#This Row],[物品名称]],[1]!表1_8[#Data],2,FALSE)</f>
        <v>#REF!</v>
      </c>
      <c r="M44" s="13" t="e">
        <f>VLOOKUP(表1[[#This Row],[物品描述]],[1]!表1_8[#Data],2,FALSE)</f>
        <v>#REF!</v>
      </c>
      <c r="O44" s="6" t="s">
        <v>206</v>
      </c>
    </row>
    <row r="45" spans="1:15" ht="17.25" x14ac:dyDescent="0.35">
      <c r="A45" s="10" t="s">
        <v>198</v>
      </c>
      <c r="B45" s="11" t="s">
        <v>438</v>
      </c>
      <c r="C45" s="11" t="s">
        <v>439</v>
      </c>
      <c r="D45" s="10">
        <v>9</v>
      </c>
      <c r="E45" s="10">
        <v>-1</v>
      </c>
      <c r="F45" s="10">
        <v>100</v>
      </c>
      <c r="G45" s="10">
        <v>0</v>
      </c>
      <c r="H45" s="10">
        <v>0</v>
      </c>
      <c r="I45" s="10" t="s">
        <v>203</v>
      </c>
      <c r="J45" s="10">
        <v>0</v>
      </c>
      <c r="K45" s="10">
        <v>0</v>
      </c>
      <c r="L45" s="13" t="e">
        <f>VLOOKUP(表1[[#This Row],[物品名称]],[1]!表1_8[#Data],2,FALSE)</f>
        <v>#REF!</v>
      </c>
      <c r="M45" s="13" t="e">
        <f>VLOOKUP(表1[[#This Row],[物品描述]],[1]!表1_8[#Data],2,FALSE)</f>
        <v>#REF!</v>
      </c>
    </row>
    <row r="46" spans="1:15" ht="17.25" x14ac:dyDescent="0.35">
      <c r="A46" s="10" t="s">
        <v>199</v>
      </c>
      <c r="B46" s="11" t="s">
        <v>440</v>
      </c>
      <c r="C46" s="11" t="s">
        <v>441</v>
      </c>
      <c r="D46" s="10">
        <v>9</v>
      </c>
      <c r="E46" s="10">
        <v>-1</v>
      </c>
      <c r="F46" s="10">
        <v>100</v>
      </c>
      <c r="G46" s="10">
        <v>0</v>
      </c>
      <c r="H46" s="10">
        <v>0</v>
      </c>
      <c r="I46" s="10" t="s">
        <v>204</v>
      </c>
      <c r="J46" s="10">
        <v>0</v>
      </c>
      <c r="K46" s="10">
        <v>0</v>
      </c>
      <c r="L46" s="13" t="e">
        <f>VLOOKUP(表1[[#This Row],[物品名称]],[1]!表1_8[#Data],2,FALSE)</f>
        <v>#REF!</v>
      </c>
      <c r="M46" s="13" t="e">
        <f>VLOOKUP(表1[[#This Row],[物品描述]],[1]!表1_8[#Data],2,FALSE)</f>
        <v>#REF!</v>
      </c>
    </row>
    <row r="47" spans="1:15" ht="17.25" x14ac:dyDescent="0.35">
      <c r="A47" s="10" t="s">
        <v>200</v>
      </c>
      <c r="B47" s="11" t="s">
        <v>442</v>
      </c>
      <c r="C47" s="11" t="s">
        <v>443</v>
      </c>
      <c r="D47" s="10">
        <v>9</v>
      </c>
      <c r="E47" s="10">
        <v>-1</v>
      </c>
      <c r="F47" s="10">
        <v>100</v>
      </c>
      <c r="G47" s="10">
        <v>0</v>
      </c>
      <c r="H47" s="10">
        <v>0</v>
      </c>
      <c r="I47" s="10" t="s">
        <v>205</v>
      </c>
      <c r="J47" s="10">
        <v>0</v>
      </c>
      <c r="K47" s="10">
        <v>0</v>
      </c>
      <c r="L47" s="13" t="e">
        <f>VLOOKUP(表1[[#This Row],[物品名称]],[1]!表1_8[#Data],2,FALSE)</f>
        <v>#REF!</v>
      </c>
      <c r="M47" s="13" t="e">
        <f>VLOOKUP(表1[[#This Row],[物品描述]],[1]!表1_8[#Data],2,FALSE)</f>
        <v>#REF!</v>
      </c>
    </row>
    <row r="48" spans="1:15" ht="17.25" x14ac:dyDescent="0.35">
      <c r="A48" s="10" t="s">
        <v>201</v>
      </c>
      <c r="B48" s="11" t="s">
        <v>444</v>
      </c>
      <c r="C48" s="11" t="s">
        <v>445</v>
      </c>
      <c r="D48" s="10">
        <v>7</v>
      </c>
      <c r="E48" s="10">
        <v>-1</v>
      </c>
      <c r="F48" s="10">
        <v>0</v>
      </c>
      <c r="G48" s="10" t="s">
        <v>208</v>
      </c>
      <c r="H48" s="10">
        <v>0</v>
      </c>
      <c r="I48" s="10" t="s">
        <v>206</v>
      </c>
      <c r="J48" s="10">
        <v>0</v>
      </c>
      <c r="K48" s="10">
        <v>0</v>
      </c>
      <c r="L48" s="13" t="e">
        <f>VLOOKUP(表1[[#This Row],[物品名称]],[1]!表1_8[#Data],2,FALSE)</f>
        <v>#REF!</v>
      </c>
      <c r="M48" s="13" t="e">
        <f>VLOOKUP(表1[[#This Row],[物品描述]],[1]!表1_8[#Data],2,FALSE)</f>
        <v>#REF!</v>
      </c>
    </row>
    <row r="49" spans="1:13" ht="17.25" x14ac:dyDescent="0.35">
      <c r="A49" s="10" t="s">
        <v>251</v>
      </c>
      <c r="B49" s="11" t="s">
        <v>446</v>
      </c>
      <c r="C49" s="11" t="s">
        <v>447</v>
      </c>
      <c r="D49" s="10">
        <v>9</v>
      </c>
      <c r="E49" s="10">
        <v>-1</v>
      </c>
      <c r="F49" s="10">
        <v>100</v>
      </c>
      <c r="G49" s="10">
        <v>0</v>
      </c>
      <c r="H49" s="10">
        <v>0</v>
      </c>
      <c r="I49" s="10" t="s">
        <v>261</v>
      </c>
      <c r="J49" s="10">
        <v>0</v>
      </c>
      <c r="K49" s="10">
        <v>0</v>
      </c>
      <c r="L49" s="13" t="e">
        <f>VLOOKUP(表1[[#This Row],[物品名称]],[1]!表1_8[#Data],2,FALSE)</f>
        <v>#REF!</v>
      </c>
      <c r="M49" s="13" t="e">
        <f>VLOOKUP(表1[[#This Row],[物品描述]],[1]!表1_8[#Data],2,FALSE)</f>
        <v>#REF!</v>
      </c>
    </row>
    <row r="50" spans="1:13" ht="17.25" x14ac:dyDescent="0.35">
      <c r="A50" s="10" t="s">
        <v>252</v>
      </c>
      <c r="B50" s="11" t="s">
        <v>448</v>
      </c>
      <c r="C50" s="11" t="s">
        <v>449</v>
      </c>
      <c r="D50" s="10">
        <v>9</v>
      </c>
      <c r="E50" s="10">
        <v>-1</v>
      </c>
      <c r="F50" s="10">
        <v>100</v>
      </c>
      <c r="G50" s="10">
        <v>0</v>
      </c>
      <c r="H50" s="10">
        <v>0</v>
      </c>
      <c r="I50" s="10" t="s">
        <v>262</v>
      </c>
      <c r="J50" s="10">
        <v>0</v>
      </c>
      <c r="K50" s="10">
        <v>0</v>
      </c>
      <c r="L50" s="13" t="e">
        <f>VLOOKUP(表1[[#This Row],[物品名称]],[1]!表1_8[#Data],2,FALSE)</f>
        <v>#REF!</v>
      </c>
      <c r="M50" s="13" t="e">
        <f>VLOOKUP(表1[[#This Row],[物品描述]],[1]!表1_8[#Data],2,FALSE)</f>
        <v>#REF!</v>
      </c>
    </row>
    <row r="51" spans="1:13" ht="17.25" x14ac:dyDescent="0.35">
      <c r="A51" s="10" t="s">
        <v>253</v>
      </c>
      <c r="B51" s="11" t="s">
        <v>450</v>
      </c>
      <c r="C51" s="11" t="s">
        <v>451</v>
      </c>
      <c r="D51" s="10">
        <v>9</v>
      </c>
      <c r="E51" s="10">
        <v>-1</v>
      </c>
      <c r="F51" s="10">
        <v>200</v>
      </c>
      <c r="G51" s="10">
        <v>0</v>
      </c>
      <c r="H51" s="10">
        <v>0</v>
      </c>
      <c r="I51" s="10" t="s">
        <v>263</v>
      </c>
      <c r="J51" s="10">
        <v>0</v>
      </c>
      <c r="K51" s="10">
        <v>0</v>
      </c>
      <c r="L51" s="13" t="e">
        <f>VLOOKUP(表1[[#This Row],[物品名称]],[1]!表1_8[#Data],2,FALSE)</f>
        <v>#REF!</v>
      </c>
      <c r="M51" s="13" t="e">
        <f>VLOOKUP(表1[[#This Row],[物品描述]],[1]!表1_8[#Data],2,FALSE)</f>
        <v>#REF!</v>
      </c>
    </row>
    <row r="52" spans="1:13" ht="17.25" x14ac:dyDescent="0.35">
      <c r="A52" s="10" t="s">
        <v>254</v>
      </c>
      <c r="B52" s="11" t="s">
        <v>452</v>
      </c>
      <c r="C52" s="11" t="s">
        <v>453</v>
      </c>
      <c r="D52" s="10">
        <v>9</v>
      </c>
      <c r="E52" s="10">
        <v>-1</v>
      </c>
      <c r="F52" s="10">
        <v>400</v>
      </c>
      <c r="G52" s="10">
        <v>0</v>
      </c>
      <c r="H52" s="10">
        <v>0</v>
      </c>
      <c r="I52" s="10" t="s">
        <v>264</v>
      </c>
      <c r="J52" s="10">
        <v>0</v>
      </c>
      <c r="K52" s="10">
        <v>0</v>
      </c>
      <c r="L52" s="13" t="e">
        <f>VLOOKUP(表1[[#This Row],[物品名称]],[1]!表1_8[#Data],2,FALSE)</f>
        <v>#REF!</v>
      </c>
      <c r="M52" s="13" t="e">
        <f>VLOOKUP(表1[[#This Row],[物品描述]],[1]!表1_8[#Data],2,FALSE)</f>
        <v>#REF!</v>
      </c>
    </row>
    <row r="53" spans="1:13" ht="17.25" x14ac:dyDescent="0.35">
      <c r="A53" s="10" t="s">
        <v>255</v>
      </c>
      <c r="B53" s="11" t="s">
        <v>454</v>
      </c>
      <c r="C53" s="11" t="s">
        <v>455</v>
      </c>
      <c r="D53" s="10">
        <v>9</v>
      </c>
      <c r="E53" s="10">
        <v>-1</v>
      </c>
      <c r="F53" s="10">
        <v>800</v>
      </c>
      <c r="G53" s="10">
        <v>0</v>
      </c>
      <c r="H53" s="10">
        <v>0</v>
      </c>
      <c r="I53" s="10" t="s">
        <v>265</v>
      </c>
      <c r="J53" s="10">
        <v>0</v>
      </c>
      <c r="K53" s="10">
        <v>0</v>
      </c>
      <c r="L53" s="13" t="e">
        <f>VLOOKUP(表1[[#This Row],[物品名称]],[1]!表1_8[#Data],2,FALSE)</f>
        <v>#REF!</v>
      </c>
      <c r="M53" s="13" t="e">
        <f>VLOOKUP(表1[[#This Row],[物品描述]],[1]!表1_8[#Data],2,FALSE)</f>
        <v>#REF!</v>
      </c>
    </row>
    <row r="54" spans="1:13" ht="17.25" x14ac:dyDescent="0.35">
      <c r="A54" s="10" t="s">
        <v>256</v>
      </c>
      <c r="B54" s="11" t="s">
        <v>456</v>
      </c>
      <c r="C54" s="11" t="s">
        <v>457</v>
      </c>
      <c r="D54" s="10">
        <v>7</v>
      </c>
      <c r="E54" s="10">
        <v>-1</v>
      </c>
      <c r="F54" s="10">
        <v>0</v>
      </c>
      <c r="G54" s="10" t="s">
        <v>260</v>
      </c>
      <c r="H54" s="10">
        <v>0</v>
      </c>
      <c r="I54" s="10" t="s">
        <v>286</v>
      </c>
      <c r="J54" s="10">
        <v>0</v>
      </c>
      <c r="K54" s="10">
        <v>0</v>
      </c>
      <c r="L54" s="13" t="e">
        <f>VLOOKUP(表1[[#This Row],[物品名称]],[1]!表1_8[#Data],2,FALSE)</f>
        <v>#REF!</v>
      </c>
      <c r="M54" s="13" t="e">
        <f>VLOOKUP(表1[[#This Row],[物品描述]],[1]!表1_8[#Data],2,FALSE)</f>
        <v>#REF!</v>
      </c>
    </row>
    <row r="55" spans="1:13" ht="17.25" x14ac:dyDescent="0.35">
      <c r="A55" s="10" t="s">
        <v>257</v>
      </c>
      <c r="B55" s="11" t="s">
        <v>458</v>
      </c>
      <c r="C55" s="11" t="s">
        <v>459</v>
      </c>
      <c r="D55" s="10">
        <v>7</v>
      </c>
      <c r="E55" s="10">
        <v>-1</v>
      </c>
      <c r="F55" s="10">
        <v>0</v>
      </c>
      <c r="G55" s="10" t="s">
        <v>257</v>
      </c>
      <c r="H55" s="10">
        <v>0</v>
      </c>
      <c r="I55" s="10" t="s">
        <v>266</v>
      </c>
      <c r="J55" s="10">
        <v>0</v>
      </c>
      <c r="K55" s="10">
        <v>0</v>
      </c>
      <c r="L55" s="13" t="e">
        <f>VLOOKUP(表1[[#This Row],[物品名称]],[1]!表1_8[#Data],2,FALSE)</f>
        <v>#REF!</v>
      </c>
      <c r="M55" s="13" t="e">
        <f>VLOOKUP(表1[[#This Row],[物品描述]],[1]!表1_8[#Data],2,FALSE)</f>
        <v>#REF!</v>
      </c>
    </row>
    <row r="56" spans="1:13" ht="17.25" x14ac:dyDescent="0.35">
      <c r="A56" s="10" t="s">
        <v>258</v>
      </c>
      <c r="B56" s="11" t="s">
        <v>460</v>
      </c>
      <c r="C56" s="11" t="s">
        <v>461</v>
      </c>
      <c r="D56" s="10">
        <v>7</v>
      </c>
      <c r="E56" s="10">
        <v>-1</v>
      </c>
      <c r="F56" s="10">
        <v>0</v>
      </c>
      <c r="G56" s="10" t="s">
        <v>258</v>
      </c>
      <c r="H56" s="10">
        <v>0</v>
      </c>
      <c r="I56" s="10" t="s">
        <v>267</v>
      </c>
      <c r="J56" s="10">
        <v>0</v>
      </c>
      <c r="K56" s="10">
        <v>0</v>
      </c>
      <c r="L56" s="13" t="e">
        <f>VLOOKUP(表1[[#This Row],[物品名称]],[1]!表1_8[#Data],2,FALSE)</f>
        <v>#REF!</v>
      </c>
      <c r="M56" s="13" t="e">
        <f>VLOOKUP(表1[[#This Row],[物品描述]],[1]!表1_8[#Data],2,FALSE)</f>
        <v>#REF!</v>
      </c>
    </row>
    <row r="57" spans="1:13" ht="17.25" x14ac:dyDescent="0.35">
      <c r="A57" s="10" t="s">
        <v>259</v>
      </c>
      <c r="B57" s="11" t="s">
        <v>462</v>
      </c>
      <c r="C57" s="11" t="s">
        <v>463</v>
      </c>
      <c r="D57" s="10">
        <v>7</v>
      </c>
      <c r="E57" s="10">
        <v>-1</v>
      </c>
      <c r="F57" s="10">
        <v>0</v>
      </c>
      <c r="G57" s="10" t="s">
        <v>259</v>
      </c>
      <c r="H57" s="10">
        <v>0</v>
      </c>
      <c r="I57" s="10" t="s">
        <v>268</v>
      </c>
      <c r="J57" s="10">
        <v>0</v>
      </c>
      <c r="K57" s="10">
        <v>0</v>
      </c>
      <c r="L57" s="13" t="e">
        <f>VLOOKUP(表1[[#This Row],[物品名称]],[1]!表1_8[#Data],2,FALSE)</f>
        <v>#REF!</v>
      </c>
      <c r="M57" s="13" t="e">
        <f>VLOOKUP(表1[[#This Row],[物品描述]],[1]!表1_8[#Data],2,FALSE)</f>
        <v>#REF!</v>
      </c>
    </row>
    <row r="58" spans="1:13" ht="17.25" x14ac:dyDescent="0.35">
      <c r="A58" s="10" t="s">
        <v>270</v>
      </c>
      <c r="B58" s="11" t="s">
        <v>464</v>
      </c>
      <c r="C58" s="11" t="s">
        <v>465</v>
      </c>
      <c r="D58" s="10">
        <v>7</v>
      </c>
      <c r="E58" s="10">
        <v>-1</v>
      </c>
      <c r="F58" s="10">
        <v>0</v>
      </c>
      <c r="G58" s="10" t="s">
        <v>285</v>
      </c>
      <c r="H58" s="10">
        <v>0</v>
      </c>
      <c r="I58" s="10" t="s">
        <v>269</v>
      </c>
      <c r="J58" s="10">
        <v>0</v>
      </c>
      <c r="K58" s="10">
        <v>0</v>
      </c>
      <c r="L58" s="13" t="e">
        <f>VLOOKUP(表1[[#This Row],[物品名称]],[1]!表1_8[#Data],2,FALSE)</f>
        <v>#REF!</v>
      </c>
      <c r="M58" s="13" t="e">
        <f>VLOOKUP(表1[[#This Row],[物品描述]],[1]!表1_8[#Data],2,FALSE)</f>
        <v>#REF!</v>
      </c>
    </row>
    <row r="59" spans="1:13" ht="17.25" x14ac:dyDescent="0.35">
      <c r="A59" s="10" t="s">
        <v>296</v>
      </c>
      <c r="B59" s="11" t="s">
        <v>466</v>
      </c>
      <c r="C59" s="11" t="s">
        <v>467</v>
      </c>
      <c r="D59" s="10">
        <v>7</v>
      </c>
      <c r="E59" s="10">
        <v>-1</v>
      </c>
      <c r="F59" s="10">
        <v>0</v>
      </c>
      <c r="G59" s="10" t="s">
        <v>297</v>
      </c>
      <c r="H59" s="10">
        <v>0</v>
      </c>
      <c r="I59" s="10" t="s">
        <v>298</v>
      </c>
      <c r="J59" s="10">
        <v>0</v>
      </c>
      <c r="K59" s="10">
        <v>0</v>
      </c>
      <c r="L59" s="13" t="e">
        <f>VLOOKUP(表1[[#This Row],[物品名称]],[1]!表1_8[#Data],2,FALSE)</f>
        <v>#REF!</v>
      </c>
      <c r="M59" s="13" t="e">
        <f>VLOOKUP(表1[[#This Row],[物品描述]],[1]!表1_8[#Data],2,FALSE)</f>
        <v>#REF!</v>
      </c>
    </row>
    <row r="60" spans="1:13" ht="17.25" x14ac:dyDescent="0.35">
      <c r="A60" s="10" t="s">
        <v>299</v>
      </c>
      <c r="B60" s="11" t="s">
        <v>468</v>
      </c>
      <c r="C60" s="11" t="s">
        <v>469</v>
      </c>
      <c r="D60" s="10">
        <v>7</v>
      </c>
      <c r="E60" s="10">
        <v>-1</v>
      </c>
      <c r="F60" s="10">
        <v>0</v>
      </c>
      <c r="G60" s="10" t="s">
        <v>299</v>
      </c>
      <c r="H60" s="10">
        <v>0</v>
      </c>
      <c r="I60" s="10" t="s">
        <v>300</v>
      </c>
      <c r="J60" s="10">
        <v>2</v>
      </c>
      <c r="K60" s="10">
        <v>1</v>
      </c>
      <c r="L60" s="13" t="e">
        <f>VLOOKUP(表1[[#This Row],[物品名称]],[1]!表1_8[#Data],2,FALSE)</f>
        <v>#REF!</v>
      </c>
      <c r="M60" s="13" t="e">
        <f>VLOOKUP(表1[[#This Row],[物品描述]],[1]!表1_8[#Data],2,FALSE)</f>
        <v>#REF!</v>
      </c>
    </row>
    <row r="61" spans="1:13" ht="17.25" x14ac:dyDescent="0.35">
      <c r="A61" s="10" t="s">
        <v>348</v>
      </c>
      <c r="B61" s="11" t="s">
        <v>470</v>
      </c>
      <c r="C61" s="11" t="s">
        <v>471</v>
      </c>
      <c r="D61" s="10">
        <v>7</v>
      </c>
      <c r="E61" s="10">
        <v>-1</v>
      </c>
      <c r="F61" s="10">
        <v>0</v>
      </c>
      <c r="G61" s="10" t="s">
        <v>348</v>
      </c>
      <c r="H61" s="10">
        <v>0</v>
      </c>
      <c r="I61" s="10" t="s">
        <v>350</v>
      </c>
      <c r="J61" s="10">
        <v>0</v>
      </c>
      <c r="K61" s="10">
        <v>0</v>
      </c>
      <c r="L61" s="13" t="e">
        <f>VLOOKUP(表1[[#This Row],[物品名称]],[1]!表1_8[#Data],2,FALSE)</f>
        <v>#REF!</v>
      </c>
      <c r="M61" s="13" t="e">
        <f>VLOOKUP(表1[[#This Row],[物品描述]],[1]!表1_8[#Data],2,FALSE)</f>
        <v>#REF!</v>
      </c>
    </row>
    <row r="62" spans="1:13" ht="17.25" x14ac:dyDescent="0.35">
      <c r="A62" s="10" t="s">
        <v>349</v>
      </c>
      <c r="B62" s="11" t="s">
        <v>472</v>
      </c>
      <c r="C62" s="11" t="s">
        <v>473</v>
      </c>
      <c r="D62" s="10">
        <v>7</v>
      </c>
      <c r="E62" s="10">
        <v>-1</v>
      </c>
      <c r="F62" s="10">
        <v>0</v>
      </c>
      <c r="G62" s="10" t="s">
        <v>349</v>
      </c>
      <c r="H62" s="10">
        <v>0</v>
      </c>
      <c r="I62" s="10" t="s">
        <v>687</v>
      </c>
      <c r="J62" s="10">
        <v>2</v>
      </c>
      <c r="K62" s="10">
        <v>1</v>
      </c>
      <c r="L62" s="13" t="e">
        <f>VLOOKUP(表1[[#This Row],[物品名称]],[1]!表1_8[#Data],2,FALSE)</f>
        <v>#REF!</v>
      </c>
      <c r="M62" s="13" t="e">
        <f>VLOOKUP(表1[[#This Row],[物品描述]],[1]!表1_8[#Data],2,FALSE)</f>
        <v>#REF!</v>
      </c>
    </row>
    <row r="63" spans="1:13" ht="17.25" x14ac:dyDescent="0.35">
      <c r="A63" s="10" t="s">
        <v>183</v>
      </c>
      <c r="B63" s="11" t="s">
        <v>474</v>
      </c>
      <c r="C63" s="11" t="s">
        <v>475</v>
      </c>
      <c r="D63" s="10">
        <v>9</v>
      </c>
      <c r="E63" s="10">
        <v>-1</v>
      </c>
      <c r="F63" s="10">
        <v>0</v>
      </c>
      <c r="G63" s="10">
        <v>0</v>
      </c>
      <c r="H63" s="10">
        <v>0</v>
      </c>
      <c r="I63" s="10" t="s">
        <v>185</v>
      </c>
      <c r="J63" s="10">
        <v>0</v>
      </c>
      <c r="K63" s="10">
        <v>0</v>
      </c>
      <c r="L63" s="13" t="e">
        <f>VLOOKUP(表1[[#This Row],[物品名称]],[1]!表1_8[#Data],2,FALSE)</f>
        <v>#REF!</v>
      </c>
      <c r="M63" s="13" t="e">
        <f>VLOOKUP(表1[[#This Row],[物品描述]],[1]!表1_8[#Data],2,FALSE)</f>
        <v>#REF!</v>
      </c>
    </row>
    <row r="64" spans="1:13" ht="17.25" x14ac:dyDescent="0.35">
      <c r="A64" s="10" t="s">
        <v>76</v>
      </c>
      <c r="B64" s="11" t="s">
        <v>476</v>
      </c>
      <c r="C64" s="11" t="s">
        <v>477</v>
      </c>
      <c r="D64" s="10">
        <v>8</v>
      </c>
      <c r="E64" s="10">
        <v>-1</v>
      </c>
      <c r="F64" s="10">
        <v>0</v>
      </c>
      <c r="G64" s="10">
        <v>0</v>
      </c>
      <c r="H64" s="10">
        <v>0</v>
      </c>
      <c r="I64" s="14" t="s">
        <v>157</v>
      </c>
      <c r="J64" s="10">
        <v>0</v>
      </c>
      <c r="K64" s="10">
        <v>0</v>
      </c>
      <c r="L64" s="12" t="e">
        <f>VLOOKUP(表1[[#This Row],[物品名称]],[1]!表1_8[#Data],2,FALSE)</f>
        <v>#REF!</v>
      </c>
      <c r="M64" s="12" t="e">
        <f>VLOOKUP(表1[[#This Row],[物品描述]],[1]!表1_8[#Data],2,FALSE)</f>
        <v>#REF!</v>
      </c>
    </row>
    <row r="65" spans="1:13" ht="17.25" x14ac:dyDescent="0.35">
      <c r="A65" s="10" t="s">
        <v>77</v>
      </c>
      <c r="B65" s="11" t="s">
        <v>478</v>
      </c>
      <c r="C65" s="11" t="s">
        <v>479</v>
      </c>
      <c r="D65" s="10">
        <v>8</v>
      </c>
      <c r="E65" s="10">
        <v>-1</v>
      </c>
      <c r="F65" s="10">
        <v>0</v>
      </c>
      <c r="G65" s="10">
        <v>0</v>
      </c>
      <c r="H65" s="10">
        <v>0</v>
      </c>
      <c r="I65" s="14" t="s">
        <v>158</v>
      </c>
      <c r="J65" s="10">
        <v>0</v>
      </c>
      <c r="K65" s="10">
        <v>0</v>
      </c>
      <c r="L65" s="12" t="e">
        <f>VLOOKUP(表1[[#This Row],[物品名称]],[1]!表1_8[#Data],2,FALSE)</f>
        <v>#REF!</v>
      </c>
      <c r="M65" s="12" t="e">
        <f>VLOOKUP(表1[[#This Row],[物品描述]],[1]!表1_8[#Data],2,FALSE)</f>
        <v>#REF!</v>
      </c>
    </row>
    <row r="66" spans="1:13" ht="17.25" x14ac:dyDescent="0.35">
      <c r="A66" s="10" t="s">
        <v>78</v>
      </c>
      <c r="B66" s="11" t="s">
        <v>480</v>
      </c>
      <c r="C66" s="11" t="s">
        <v>481</v>
      </c>
      <c r="D66" s="10">
        <v>8</v>
      </c>
      <c r="E66" s="10">
        <v>-1</v>
      </c>
      <c r="F66" s="10">
        <v>0</v>
      </c>
      <c r="G66" s="10">
        <v>0</v>
      </c>
      <c r="H66" s="10">
        <v>0</v>
      </c>
      <c r="I66" s="14" t="s">
        <v>79</v>
      </c>
      <c r="J66" s="10">
        <v>0</v>
      </c>
      <c r="K66" s="10">
        <v>0</v>
      </c>
      <c r="L66" s="12" t="e">
        <f>VLOOKUP(表1[[#This Row],[物品名称]],[1]!表1_8[#Data],2,FALSE)</f>
        <v>#REF!</v>
      </c>
      <c r="M66" s="12" t="e">
        <f>VLOOKUP(表1[[#This Row],[物品描述]],[1]!表1_8[#Data],2,FALSE)</f>
        <v>#REF!</v>
      </c>
    </row>
    <row r="67" spans="1:13" ht="17.25" x14ac:dyDescent="0.35">
      <c r="A67" s="10" t="s">
        <v>216</v>
      </c>
      <c r="B67" s="11" t="s">
        <v>482</v>
      </c>
      <c r="C67" s="11" t="s">
        <v>483</v>
      </c>
      <c r="D67" s="10">
        <v>7</v>
      </c>
      <c r="E67" s="10">
        <v>-1</v>
      </c>
      <c r="F67" s="10">
        <v>0</v>
      </c>
      <c r="G67" s="10" t="s">
        <v>249</v>
      </c>
      <c r="H67" s="10">
        <v>0</v>
      </c>
      <c r="I67" s="10" t="s">
        <v>250</v>
      </c>
      <c r="J67" s="10">
        <v>0</v>
      </c>
      <c r="K67" s="10">
        <v>0</v>
      </c>
      <c r="L67" s="13" t="e">
        <f>VLOOKUP(表1[[#This Row],[物品名称]],[1]!表1_8[#Data],2,FALSE)</f>
        <v>#REF!</v>
      </c>
      <c r="M67" s="13" t="e">
        <f>VLOOKUP(表1[[#This Row],[物品描述]],[1]!表1_8[#Data],2,FALSE)</f>
        <v>#REF!</v>
      </c>
    </row>
    <row r="68" spans="1:13" ht="17.25" x14ac:dyDescent="0.35">
      <c r="A68" s="10" t="s">
        <v>289</v>
      </c>
      <c r="B68" s="11" t="s">
        <v>484</v>
      </c>
      <c r="C68" s="11" t="s">
        <v>485</v>
      </c>
      <c r="D68" s="10">
        <v>8</v>
      </c>
      <c r="E68" s="10">
        <v>-1</v>
      </c>
      <c r="F68" s="10">
        <v>0</v>
      </c>
      <c r="G68" s="10">
        <v>0</v>
      </c>
      <c r="H68" s="10">
        <v>0</v>
      </c>
      <c r="I68" s="10" t="s">
        <v>290</v>
      </c>
      <c r="J68" s="10">
        <v>0</v>
      </c>
      <c r="K68" s="10">
        <v>0</v>
      </c>
      <c r="L68" s="13" t="e">
        <f>VLOOKUP(表1[[#This Row],[物品名称]],[1]!表1_8[#Data],2,FALSE)</f>
        <v>#REF!</v>
      </c>
      <c r="M68" s="13" t="e">
        <f>VLOOKUP(表1[[#This Row],[物品描述]],[1]!表1_8[#Data],2,FALSE)</f>
        <v>#REF!</v>
      </c>
    </row>
    <row r="69" spans="1:13" ht="17.25" x14ac:dyDescent="0.35">
      <c r="A69" s="10" t="s">
        <v>80</v>
      </c>
      <c r="B69" s="11" t="s">
        <v>486</v>
      </c>
      <c r="C69" s="11" t="s">
        <v>487</v>
      </c>
      <c r="D69" s="10">
        <v>9</v>
      </c>
      <c r="E69" s="10">
        <v>-1</v>
      </c>
      <c r="F69" s="10">
        <v>100000</v>
      </c>
      <c r="G69" s="10">
        <v>0</v>
      </c>
      <c r="H69" s="10">
        <v>0</v>
      </c>
      <c r="I69" s="10" t="s">
        <v>81</v>
      </c>
      <c r="J69" s="10">
        <v>0</v>
      </c>
      <c r="K69" s="10">
        <v>0</v>
      </c>
      <c r="L69" s="12" t="e">
        <f>VLOOKUP(表1[[#This Row],[物品名称]],[1]!表1_8[#Data],2,FALSE)</f>
        <v>#REF!</v>
      </c>
      <c r="M69" s="12" t="e">
        <f>VLOOKUP(表1[[#This Row],[物品描述]],[1]!表1_8[#Data],2,FALSE)</f>
        <v>#REF!</v>
      </c>
    </row>
    <row r="70" spans="1:13" ht="17.25" x14ac:dyDescent="0.35">
      <c r="A70" s="10" t="s">
        <v>82</v>
      </c>
      <c r="B70" s="11" t="s">
        <v>488</v>
      </c>
      <c r="C70" s="11" t="s">
        <v>489</v>
      </c>
      <c r="D70" s="10">
        <v>8</v>
      </c>
      <c r="E70" s="10">
        <v>-1</v>
      </c>
      <c r="F70" s="10">
        <v>100</v>
      </c>
      <c r="G70" s="10">
        <v>0</v>
      </c>
      <c r="H70" s="10">
        <v>0</v>
      </c>
      <c r="I70" s="10" t="s">
        <v>160</v>
      </c>
      <c r="J70" s="10">
        <v>0</v>
      </c>
      <c r="K70" s="10">
        <v>0</v>
      </c>
      <c r="L70" s="12" t="e">
        <f>VLOOKUP(表1[[#This Row],[物品名称]],[1]!表1_8[#Data],2,FALSE)</f>
        <v>#REF!</v>
      </c>
      <c r="M70" s="12" t="e">
        <f>VLOOKUP(表1[[#This Row],[物品描述]],[1]!表1_8[#Data],2,FALSE)</f>
        <v>#REF!</v>
      </c>
    </row>
    <row r="71" spans="1:13" ht="17.25" x14ac:dyDescent="0.35">
      <c r="A71" s="10" t="s">
        <v>83</v>
      </c>
      <c r="B71" s="11" t="s">
        <v>490</v>
      </c>
      <c r="C71" s="11" t="s">
        <v>491</v>
      </c>
      <c r="D71" s="10">
        <v>8</v>
      </c>
      <c r="E71" s="10">
        <v>-1</v>
      </c>
      <c r="F71" s="10">
        <v>100</v>
      </c>
      <c r="G71" s="10">
        <v>0</v>
      </c>
      <c r="H71" s="10">
        <v>0</v>
      </c>
      <c r="I71" s="10" t="s">
        <v>162</v>
      </c>
      <c r="J71" s="10">
        <v>0</v>
      </c>
      <c r="K71" s="10">
        <v>0</v>
      </c>
      <c r="L71" s="12" t="e">
        <f>VLOOKUP(表1[[#This Row],[物品名称]],[1]!表1_8[#Data],2,FALSE)</f>
        <v>#REF!</v>
      </c>
      <c r="M71" s="12" t="e">
        <f>VLOOKUP(表1[[#This Row],[物品描述]],[1]!表1_8[#Data],2,FALSE)</f>
        <v>#REF!</v>
      </c>
    </row>
    <row r="72" spans="1:13" ht="17.25" x14ac:dyDescent="0.35">
      <c r="A72" s="10" t="s">
        <v>84</v>
      </c>
      <c r="B72" s="11" t="s">
        <v>492</v>
      </c>
      <c r="C72" s="11" t="s">
        <v>493</v>
      </c>
      <c r="D72" s="10">
        <v>8</v>
      </c>
      <c r="E72" s="10">
        <v>-1</v>
      </c>
      <c r="F72" s="10">
        <v>100</v>
      </c>
      <c r="G72" s="10">
        <v>0</v>
      </c>
      <c r="H72" s="10">
        <v>0</v>
      </c>
      <c r="I72" s="10" t="s">
        <v>163</v>
      </c>
      <c r="J72" s="10">
        <v>0</v>
      </c>
      <c r="K72" s="10">
        <v>0</v>
      </c>
      <c r="L72" s="12" t="e">
        <f>VLOOKUP(表1[[#This Row],[物品名称]],[1]!表1_8[#Data],2,FALSE)</f>
        <v>#REF!</v>
      </c>
      <c r="M72" s="12" t="e">
        <f>VLOOKUP(表1[[#This Row],[物品描述]],[1]!表1_8[#Data],2,FALSE)</f>
        <v>#REF!</v>
      </c>
    </row>
    <row r="73" spans="1:13" ht="17.25" x14ac:dyDescent="0.35">
      <c r="A73" s="10" t="s">
        <v>85</v>
      </c>
      <c r="B73" s="11" t="s">
        <v>494</v>
      </c>
      <c r="C73" s="11" t="s">
        <v>495</v>
      </c>
      <c r="D73" s="10">
        <v>8</v>
      </c>
      <c r="E73" s="10">
        <v>-1</v>
      </c>
      <c r="F73" s="10">
        <v>100</v>
      </c>
      <c r="G73" s="10">
        <v>0</v>
      </c>
      <c r="H73" s="10">
        <v>0</v>
      </c>
      <c r="I73" s="10" t="s">
        <v>159</v>
      </c>
      <c r="J73" s="10">
        <v>0</v>
      </c>
      <c r="K73" s="10">
        <v>0</v>
      </c>
      <c r="L73" s="12" t="e">
        <f>VLOOKUP(表1[[#This Row],[物品名称]],[1]!表1_8[#Data],2,FALSE)</f>
        <v>#REF!</v>
      </c>
      <c r="M73" s="12" t="e">
        <f>VLOOKUP(表1[[#This Row],[物品描述]],[1]!表1_8[#Data],2,FALSE)</f>
        <v>#REF!</v>
      </c>
    </row>
    <row r="74" spans="1:13" ht="17.25" x14ac:dyDescent="0.35">
      <c r="A74" s="10" t="s">
        <v>86</v>
      </c>
      <c r="B74" s="11" t="s">
        <v>496</v>
      </c>
      <c r="C74" s="11" t="s">
        <v>497</v>
      </c>
      <c r="D74" s="10">
        <v>8</v>
      </c>
      <c r="E74" s="10">
        <v>-1</v>
      </c>
      <c r="F74" s="10">
        <v>100</v>
      </c>
      <c r="G74" s="10">
        <v>0</v>
      </c>
      <c r="H74" s="10">
        <v>0</v>
      </c>
      <c r="I74" s="10" t="s">
        <v>161</v>
      </c>
      <c r="J74" s="10">
        <v>0</v>
      </c>
      <c r="K74" s="10">
        <v>0</v>
      </c>
      <c r="L74" s="12" t="e">
        <f>VLOOKUP(表1[[#This Row],[物品名称]],[1]!表1_8[#Data],2,FALSE)</f>
        <v>#REF!</v>
      </c>
      <c r="M74" s="12" t="e">
        <f>VLOOKUP(表1[[#This Row],[物品描述]],[1]!表1_8[#Data],2,FALSE)</f>
        <v>#REF!</v>
      </c>
    </row>
    <row r="75" spans="1:13" ht="17.25" x14ac:dyDescent="0.35">
      <c r="A75" s="15" t="s">
        <v>87</v>
      </c>
      <c r="B75" s="11" t="s">
        <v>498</v>
      </c>
      <c r="C75" s="11" t="s">
        <v>499</v>
      </c>
      <c r="D75" s="10">
        <v>4</v>
      </c>
      <c r="E75" s="10">
        <v>-1</v>
      </c>
      <c r="F75" s="10">
        <v>10</v>
      </c>
      <c r="G75" s="10">
        <v>0</v>
      </c>
      <c r="H75" s="10">
        <v>0</v>
      </c>
      <c r="I75" s="10" t="s">
        <v>88</v>
      </c>
      <c r="J75" s="10">
        <v>0</v>
      </c>
      <c r="K75" s="10">
        <v>0</v>
      </c>
      <c r="L75" s="13" t="e">
        <f>VLOOKUP(表1[[#This Row],[物品名称]],[1]!表1_8[#Data],2,FALSE)</f>
        <v>#REF!</v>
      </c>
      <c r="M75" s="13" t="e">
        <f>VLOOKUP(表1[[#This Row],[物品描述]],[1]!表1_8[#Data],2,FALSE)</f>
        <v>#REF!</v>
      </c>
    </row>
    <row r="76" spans="1:13" ht="17.25" x14ac:dyDescent="0.35">
      <c r="A76" s="15" t="s">
        <v>89</v>
      </c>
      <c r="B76" s="11" t="s">
        <v>500</v>
      </c>
      <c r="C76" s="11" t="s">
        <v>501</v>
      </c>
      <c r="D76" s="10">
        <v>4</v>
      </c>
      <c r="E76" s="10">
        <v>-1</v>
      </c>
      <c r="F76" s="10">
        <v>10</v>
      </c>
      <c r="G76" s="10">
        <v>0</v>
      </c>
      <c r="H76" s="10">
        <v>0</v>
      </c>
      <c r="I76" s="10" t="s">
        <v>90</v>
      </c>
      <c r="J76" s="10">
        <v>0</v>
      </c>
      <c r="K76" s="10">
        <v>0</v>
      </c>
      <c r="L76" s="13" t="e">
        <f>VLOOKUP(表1[[#This Row],[物品名称]],[1]!表1_8[#Data],2,FALSE)</f>
        <v>#REF!</v>
      </c>
      <c r="M76" s="13" t="e">
        <f>VLOOKUP(表1[[#This Row],[物品描述]],[1]!表1_8[#Data],2,FALSE)</f>
        <v>#REF!</v>
      </c>
    </row>
    <row r="77" spans="1:13" ht="17.25" x14ac:dyDescent="0.35">
      <c r="A77" s="15" t="s">
        <v>91</v>
      </c>
      <c r="B77" s="11" t="s">
        <v>502</v>
      </c>
      <c r="C77" s="11" t="s">
        <v>503</v>
      </c>
      <c r="D77" s="10">
        <v>4</v>
      </c>
      <c r="E77" s="10">
        <v>-1</v>
      </c>
      <c r="F77" s="10">
        <v>10</v>
      </c>
      <c r="G77" s="10">
        <v>0</v>
      </c>
      <c r="H77" s="10">
        <v>0</v>
      </c>
      <c r="I77" s="10" t="s">
        <v>92</v>
      </c>
      <c r="J77" s="10">
        <v>0</v>
      </c>
      <c r="K77" s="10">
        <v>0</v>
      </c>
      <c r="L77" s="13" t="e">
        <f>VLOOKUP(表1[[#This Row],[物品名称]],[1]!表1_8[#Data],2,FALSE)</f>
        <v>#REF!</v>
      </c>
      <c r="M77" s="13" t="e">
        <f>VLOOKUP(表1[[#This Row],[物品描述]],[1]!表1_8[#Data],2,FALSE)</f>
        <v>#REF!</v>
      </c>
    </row>
    <row r="78" spans="1:13" ht="17.25" x14ac:dyDescent="0.35">
      <c r="A78" s="15" t="s">
        <v>93</v>
      </c>
      <c r="B78" s="11" t="s">
        <v>504</v>
      </c>
      <c r="C78" s="11" t="s">
        <v>505</v>
      </c>
      <c r="D78" s="10">
        <v>4</v>
      </c>
      <c r="E78" s="10">
        <v>-1</v>
      </c>
      <c r="F78" s="10">
        <v>10</v>
      </c>
      <c r="G78" s="10">
        <v>0</v>
      </c>
      <c r="H78" s="10">
        <v>0</v>
      </c>
      <c r="I78" s="10" t="s">
        <v>94</v>
      </c>
      <c r="J78" s="10">
        <v>0</v>
      </c>
      <c r="K78" s="10">
        <v>0</v>
      </c>
      <c r="L78" s="13" t="e">
        <f>VLOOKUP(表1[[#This Row],[物品名称]],[1]!表1_8[#Data],2,FALSE)</f>
        <v>#REF!</v>
      </c>
      <c r="M78" s="13" t="e">
        <f>VLOOKUP(表1[[#This Row],[物品描述]],[1]!表1_8[#Data],2,FALSE)</f>
        <v>#REF!</v>
      </c>
    </row>
    <row r="79" spans="1:13" ht="17.25" x14ac:dyDescent="0.35">
      <c r="A79" s="15" t="s">
        <v>95</v>
      </c>
      <c r="B79" s="11" t="s">
        <v>506</v>
      </c>
      <c r="C79" s="11" t="s">
        <v>507</v>
      </c>
      <c r="D79" s="10">
        <v>4</v>
      </c>
      <c r="E79" s="10">
        <v>-1</v>
      </c>
      <c r="F79" s="10">
        <v>10</v>
      </c>
      <c r="G79" s="10">
        <v>0</v>
      </c>
      <c r="H79" s="10">
        <v>0</v>
      </c>
      <c r="I79" s="10" t="s">
        <v>96</v>
      </c>
      <c r="J79" s="10">
        <v>0</v>
      </c>
      <c r="K79" s="10">
        <v>0</v>
      </c>
      <c r="L79" s="13" t="e">
        <f>VLOOKUP(表1[[#This Row],[物品名称]],[1]!表1_8[#Data],2,FALSE)</f>
        <v>#REF!</v>
      </c>
      <c r="M79" s="13" t="e">
        <f>VLOOKUP(表1[[#This Row],[物品描述]],[1]!表1_8[#Data],2,FALSE)</f>
        <v>#REF!</v>
      </c>
    </row>
    <row r="80" spans="1:13" ht="17.25" x14ac:dyDescent="0.35">
      <c r="A80" s="15" t="s">
        <v>97</v>
      </c>
      <c r="B80" s="11" t="s">
        <v>508</v>
      </c>
      <c r="C80" s="11" t="s">
        <v>509</v>
      </c>
      <c r="D80" s="10">
        <v>4</v>
      </c>
      <c r="E80" s="10">
        <v>-1</v>
      </c>
      <c r="F80" s="10">
        <v>10</v>
      </c>
      <c r="G80" s="10">
        <v>0</v>
      </c>
      <c r="H80" s="10">
        <v>0</v>
      </c>
      <c r="I80" s="10" t="s">
        <v>98</v>
      </c>
      <c r="J80" s="10">
        <v>0</v>
      </c>
      <c r="K80" s="10">
        <v>0</v>
      </c>
      <c r="L80" s="13" t="e">
        <f>VLOOKUP(表1[[#This Row],[物品名称]],[1]!表1_8[#Data],2,FALSE)</f>
        <v>#REF!</v>
      </c>
      <c r="M80" s="13" t="e">
        <f>VLOOKUP(表1[[#This Row],[物品描述]],[1]!表1_8[#Data],2,FALSE)</f>
        <v>#REF!</v>
      </c>
    </row>
    <row r="81" spans="1:13" ht="17.25" x14ac:dyDescent="0.35">
      <c r="A81" s="15" t="s">
        <v>99</v>
      </c>
      <c r="B81" s="11" t="s">
        <v>510</v>
      </c>
      <c r="C81" s="11" t="s">
        <v>511</v>
      </c>
      <c r="D81" s="10">
        <v>4</v>
      </c>
      <c r="E81" s="10">
        <v>-1</v>
      </c>
      <c r="F81" s="10">
        <v>10</v>
      </c>
      <c r="G81" s="10">
        <v>0</v>
      </c>
      <c r="H81" s="10">
        <v>0</v>
      </c>
      <c r="I81" s="10" t="s">
        <v>100</v>
      </c>
      <c r="J81" s="10">
        <v>0</v>
      </c>
      <c r="K81" s="10">
        <v>0</v>
      </c>
      <c r="L81" s="13" t="e">
        <f>VLOOKUP(表1[[#This Row],[物品名称]],[1]!表1_8[#Data],2,FALSE)</f>
        <v>#REF!</v>
      </c>
      <c r="M81" s="13" t="e">
        <f>VLOOKUP(表1[[#This Row],[物品描述]],[1]!表1_8[#Data],2,FALSE)</f>
        <v>#REF!</v>
      </c>
    </row>
    <row r="82" spans="1:13" ht="17.25" x14ac:dyDescent="0.35">
      <c r="A82" s="15" t="s">
        <v>101</v>
      </c>
      <c r="B82" s="11" t="s">
        <v>512</v>
      </c>
      <c r="C82" s="11" t="s">
        <v>513</v>
      </c>
      <c r="D82" s="10">
        <v>4</v>
      </c>
      <c r="E82" s="10">
        <v>-1</v>
      </c>
      <c r="F82" s="10">
        <v>10</v>
      </c>
      <c r="G82" s="10">
        <v>0</v>
      </c>
      <c r="H82" s="10">
        <v>0</v>
      </c>
      <c r="I82" s="10" t="s">
        <v>102</v>
      </c>
      <c r="J82" s="10">
        <v>0</v>
      </c>
      <c r="K82" s="10">
        <v>0</v>
      </c>
      <c r="L82" s="13" t="e">
        <f>VLOOKUP(表1[[#This Row],[物品名称]],[1]!表1_8[#Data],2,FALSE)</f>
        <v>#REF!</v>
      </c>
      <c r="M82" s="13" t="e">
        <f>VLOOKUP(表1[[#This Row],[物品描述]],[1]!表1_8[#Data],2,FALSE)</f>
        <v>#REF!</v>
      </c>
    </row>
    <row r="83" spans="1:13" ht="17.25" x14ac:dyDescent="0.35">
      <c r="A83" s="15" t="s">
        <v>103</v>
      </c>
      <c r="B83" s="11" t="s">
        <v>514</v>
      </c>
      <c r="C83" s="11" t="s">
        <v>515</v>
      </c>
      <c r="D83" s="10">
        <v>4</v>
      </c>
      <c r="E83" s="10">
        <v>-1</v>
      </c>
      <c r="F83" s="10">
        <v>10</v>
      </c>
      <c r="G83" s="10">
        <v>0</v>
      </c>
      <c r="H83" s="10">
        <v>0</v>
      </c>
      <c r="I83" s="10" t="s">
        <v>104</v>
      </c>
      <c r="J83" s="10">
        <v>0</v>
      </c>
      <c r="K83" s="10">
        <v>0</v>
      </c>
      <c r="L83" s="13" t="e">
        <f>VLOOKUP(表1[[#This Row],[物品名称]],[1]!表1_8[#Data],2,FALSE)</f>
        <v>#REF!</v>
      </c>
      <c r="M83" s="13" t="e">
        <f>VLOOKUP(表1[[#This Row],[物品描述]],[1]!表1_8[#Data],2,FALSE)</f>
        <v>#REF!</v>
      </c>
    </row>
    <row r="84" spans="1:13" ht="17.25" x14ac:dyDescent="0.35">
      <c r="A84" s="15" t="s">
        <v>105</v>
      </c>
      <c r="B84" s="11" t="s">
        <v>516</v>
      </c>
      <c r="C84" s="11" t="s">
        <v>517</v>
      </c>
      <c r="D84" s="10">
        <v>4</v>
      </c>
      <c r="E84" s="10">
        <v>-1</v>
      </c>
      <c r="F84" s="10">
        <v>10</v>
      </c>
      <c r="G84" s="10">
        <v>0</v>
      </c>
      <c r="H84" s="10">
        <v>0</v>
      </c>
      <c r="I84" s="10" t="s">
        <v>106</v>
      </c>
      <c r="J84" s="10">
        <v>0</v>
      </c>
      <c r="K84" s="10">
        <v>0</v>
      </c>
      <c r="L84" s="13" t="e">
        <f>VLOOKUP(表1[[#This Row],[物品名称]],[1]!表1_8[#Data],2,FALSE)</f>
        <v>#REF!</v>
      </c>
      <c r="M84" s="13" t="e">
        <f>VLOOKUP(表1[[#This Row],[物品描述]],[1]!表1_8[#Data],2,FALSE)</f>
        <v>#REF!</v>
      </c>
    </row>
    <row r="85" spans="1:13" ht="17.25" x14ac:dyDescent="0.35">
      <c r="A85" s="15" t="s">
        <v>107</v>
      </c>
      <c r="B85" s="11" t="s">
        <v>518</v>
      </c>
      <c r="C85" s="11" t="s">
        <v>519</v>
      </c>
      <c r="D85" s="10">
        <v>4</v>
      </c>
      <c r="E85" s="10">
        <v>-1</v>
      </c>
      <c r="F85" s="10">
        <v>10</v>
      </c>
      <c r="G85" s="10">
        <v>0</v>
      </c>
      <c r="H85" s="10">
        <v>0</v>
      </c>
      <c r="I85" s="10" t="s">
        <v>108</v>
      </c>
      <c r="J85" s="10">
        <v>0</v>
      </c>
      <c r="K85" s="10">
        <v>0</v>
      </c>
      <c r="L85" s="13" t="e">
        <f>VLOOKUP(表1[[#This Row],[物品名称]],[1]!表1_8[#Data],2,FALSE)</f>
        <v>#REF!</v>
      </c>
      <c r="M85" s="13" t="e">
        <f>VLOOKUP(表1[[#This Row],[物品描述]],[1]!表1_8[#Data],2,FALSE)</f>
        <v>#REF!</v>
      </c>
    </row>
    <row r="86" spans="1:13" ht="17.25" x14ac:dyDescent="0.35">
      <c r="A86" s="15" t="s">
        <v>109</v>
      </c>
      <c r="B86" s="11" t="s">
        <v>520</v>
      </c>
      <c r="C86" s="11" t="s">
        <v>521</v>
      </c>
      <c r="D86" s="10">
        <v>4</v>
      </c>
      <c r="E86" s="10">
        <v>-1</v>
      </c>
      <c r="F86" s="10">
        <v>10</v>
      </c>
      <c r="G86" s="10">
        <v>0</v>
      </c>
      <c r="H86" s="10">
        <v>0</v>
      </c>
      <c r="I86" s="10" t="s">
        <v>110</v>
      </c>
      <c r="J86" s="10">
        <v>0</v>
      </c>
      <c r="K86" s="10">
        <v>0</v>
      </c>
      <c r="L86" s="13" t="e">
        <f>VLOOKUP(表1[[#This Row],[物品名称]],[1]!表1_8[#Data],2,FALSE)</f>
        <v>#REF!</v>
      </c>
      <c r="M86" s="13" t="e">
        <f>VLOOKUP(表1[[#This Row],[物品描述]],[1]!表1_8[#Data],2,FALSE)</f>
        <v>#REF!</v>
      </c>
    </row>
    <row r="87" spans="1:13" ht="17.25" x14ac:dyDescent="0.35">
      <c r="A87" s="15" t="s">
        <v>111</v>
      </c>
      <c r="B87" s="11" t="s">
        <v>522</v>
      </c>
      <c r="C87" s="11" t="s">
        <v>523</v>
      </c>
      <c r="D87" s="10">
        <v>4</v>
      </c>
      <c r="E87" s="10">
        <v>-1</v>
      </c>
      <c r="F87" s="10">
        <v>10</v>
      </c>
      <c r="G87" s="10">
        <v>0</v>
      </c>
      <c r="H87" s="10">
        <v>0</v>
      </c>
      <c r="I87" s="10" t="s">
        <v>112</v>
      </c>
      <c r="J87" s="10">
        <v>0</v>
      </c>
      <c r="K87" s="10">
        <v>0</v>
      </c>
      <c r="L87" s="13" t="e">
        <f>VLOOKUP(表1[[#This Row],[物品名称]],[1]!表1_8[#Data],2,FALSE)</f>
        <v>#REF!</v>
      </c>
      <c r="M87" s="13" t="e">
        <f>VLOOKUP(表1[[#This Row],[物品描述]],[1]!表1_8[#Data],2,FALSE)</f>
        <v>#REF!</v>
      </c>
    </row>
    <row r="88" spans="1:13" ht="17.25" x14ac:dyDescent="0.35">
      <c r="A88" s="15" t="s">
        <v>113</v>
      </c>
      <c r="B88" s="11" t="s">
        <v>524</v>
      </c>
      <c r="C88" s="11" t="s">
        <v>525</v>
      </c>
      <c r="D88" s="10">
        <v>4</v>
      </c>
      <c r="E88" s="10">
        <v>-1</v>
      </c>
      <c r="F88" s="10">
        <v>10</v>
      </c>
      <c r="G88" s="10">
        <v>0</v>
      </c>
      <c r="H88" s="10">
        <v>0</v>
      </c>
      <c r="I88" s="10" t="s">
        <v>114</v>
      </c>
      <c r="J88" s="10">
        <v>0</v>
      </c>
      <c r="K88" s="10">
        <v>0</v>
      </c>
      <c r="L88" s="13" t="e">
        <f>VLOOKUP(表1[[#This Row],[物品名称]],[1]!表1_8[#Data],2,FALSE)</f>
        <v>#REF!</v>
      </c>
      <c r="M88" s="13" t="e">
        <f>VLOOKUP(表1[[#This Row],[物品描述]],[1]!表1_8[#Data],2,FALSE)</f>
        <v>#REF!</v>
      </c>
    </row>
    <row r="89" spans="1:13" ht="17.25" x14ac:dyDescent="0.35">
      <c r="A89" s="15" t="s">
        <v>115</v>
      </c>
      <c r="B89" s="11" t="s">
        <v>526</v>
      </c>
      <c r="C89" s="11" t="s">
        <v>527</v>
      </c>
      <c r="D89" s="10">
        <v>4</v>
      </c>
      <c r="E89" s="10">
        <v>-1</v>
      </c>
      <c r="F89" s="10">
        <v>10</v>
      </c>
      <c r="G89" s="10">
        <v>0</v>
      </c>
      <c r="H89" s="10">
        <v>0</v>
      </c>
      <c r="I89" s="10" t="s">
        <v>116</v>
      </c>
      <c r="J89" s="10">
        <v>0</v>
      </c>
      <c r="K89" s="10">
        <v>0</v>
      </c>
      <c r="L89" s="13" t="e">
        <f>VLOOKUP(表1[[#This Row],[物品名称]],[1]!表1_8[#Data],2,FALSE)</f>
        <v>#REF!</v>
      </c>
      <c r="M89" s="13" t="e">
        <f>VLOOKUP(表1[[#This Row],[物品描述]],[1]!表1_8[#Data],2,FALSE)</f>
        <v>#REF!</v>
      </c>
    </row>
    <row r="90" spans="1:13" ht="17.25" x14ac:dyDescent="0.35">
      <c r="A90" s="15" t="s">
        <v>117</v>
      </c>
      <c r="B90" s="11" t="s">
        <v>528</v>
      </c>
      <c r="C90" s="11" t="s">
        <v>529</v>
      </c>
      <c r="D90" s="10">
        <v>4</v>
      </c>
      <c r="E90" s="10">
        <v>-1</v>
      </c>
      <c r="F90" s="10">
        <v>10</v>
      </c>
      <c r="G90" s="10">
        <v>0</v>
      </c>
      <c r="H90" s="10">
        <v>0</v>
      </c>
      <c r="I90" s="10" t="s">
        <v>118</v>
      </c>
      <c r="J90" s="10">
        <v>0</v>
      </c>
      <c r="K90" s="10">
        <v>0</v>
      </c>
      <c r="L90" s="13" t="e">
        <f>VLOOKUP(表1[[#This Row],[物品名称]],[1]!表1_8[#Data],2,FALSE)</f>
        <v>#REF!</v>
      </c>
      <c r="M90" s="13" t="e">
        <f>VLOOKUP(表1[[#This Row],[物品描述]],[1]!表1_8[#Data],2,FALSE)</f>
        <v>#REF!</v>
      </c>
    </row>
    <row r="91" spans="1:13" ht="17.25" x14ac:dyDescent="0.35">
      <c r="A91" s="15" t="s">
        <v>119</v>
      </c>
      <c r="B91" s="11" t="s">
        <v>530</v>
      </c>
      <c r="C91" s="11" t="s">
        <v>531</v>
      </c>
      <c r="D91" s="10">
        <v>4</v>
      </c>
      <c r="E91" s="10">
        <v>-1</v>
      </c>
      <c r="F91" s="10">
        <v>10</v>
      </c>
      <c r="G91" s="10">
        <v>0</v>
      </c>
      <c r="H91" s="10">
        <v>0</v>
      </c>
      <c r="I91" s="10" t="s">
        <v>120</v>
      </c>
      <c r="J91" s="10">
        <v>0</v>
      </c>
      <c r="K91" s="10">
        <v>0</v>
      </c>
      <c r="L91" s="13" t="e">
        <f>VLOOKUP(表1[[#This Row],[物品名称]],[1]!表1_8[#Data],2,FALSE)</f>
        <v>#REF!</v>
      </c>
      <c r="M91" s="13" t="e">
        <f>VLOOKUP(表1[[#This Row],[物品描述]],[1]!表1_8[#Data],2,FALSE)</f>
        <v>#REF!</v>
      </c>
    </row>
    <row r="92" spans="1:13" ht="17.25" x14ac:dyDescent="0.35">
      <c r="A92" s="15" t="s">
        <v>121</v>
      </c>
      <c r="B92" s="11" t="s">
        <v>532</v>
      </c>
      <c r="C92" s="11" t="s">
        <v>533</v>
      </c>
      <c r="D92" s="10">
        <v>4</v>
      </c>
      <c r="E92" s="10">
        <v>-1</v>
      </c>
      <c r="F92" s="10">
        <v>10</v>
      </c>
      <c r="G92" s="10">
        <v>0</v>
      </c>
      <c r="H92" s="10">
        <v>0</v>
      </c>
      <c r="I92" s="10" t="s">
        <v>122</v>
      </c>
      <c r="J92" s="10">
        <v>0</v>
      </c>
      <c r="K92" s="10">
        <v>0</v>
      </c>
      <c r="L92" s="13" t="e">
        <f>VLOOKUP(表1[[#This Row],[物品名称]],[1]!表1_8[#Data],2,FALSE)</f>
        <v>#REF!</v>
      </c>
      <c r="M92" s="13" t="e">
        <f>VLOOKUP(表1[[#This Row],[物品描述]],[1]!表1_8[#Data],2,FALSE)</f>
        <v>#REF!</v>
      </c>
    </row>
    <row r="93" spans="1:13" ht="17.25" x14ac:dyDescent="0.35">
      <c r="A93" s="15" t="s">
        <v>123</v>
      </c>
      <c r="B93" s="11" t="s">
        <v>534</v>
      </c>
      <c r="C93" s="11" t="s">
        <v>535</v>
      </c>
      <c r="D93" s="10">
        <v>4</v>
      </c>
      <c r="E93" s="10">
        <v>-1</v>
      </c>
      <c r="F93" s="10">
        <v>10</v>
      </c>
      <c r="G93" s="10">
        <v>0</v>
      </c>
      <c r="H93" s="10">
        <v>0</v>
      </c>
      <c r="I93" s="10" t="s">
        <v>124</v>
      </c>
      <c r="J93" s="10">
        <v>0</v>
      </c>
      <c r="K93" s="10">
        <v>0</v>
      </c>
      <c r="L93" s="13" t="e">
        <f>VLOOKUP(表1[[#This Row],[物品名称]],[1]!表1_8[#Data],2,FALSE)</f>
        <v>#REF!</v>
      </c>
      <c r="M93" s="13" t="e">
        <f>VLOOKUP(表1[[#This Row],[物品描述]],[1]!表1_8[#Data],2,FALSE)</f>
        <v>#REF!</v>
      </c>
    </row>
    <row r="94" spans="1:13" ht="17.25" x14ac:dyDescent="0.35">
      <c r="A94" s="15" t="s">
        <v>125</v>
      </c>
      <c r="B94" s="11" t="s">
        <v>536</v>
      </c>
      <c r="C94" s="11" t="s">
        <v>537</v>
      </c>
      <c r="D94" s="10">
        <v>4</v>
      </c>
      <c r="E94" s="10">
        <v>-1</v>
      </c>
      <c r="F94" s="10">
        <v>10</v>
      </c>
      <c r="G94" s="10">
        <v>0</v>
      </c>
      <c r="H94" s="10">
        <v>0</v>
      </c>
      <c r="I94" s="10" t="s">
        <v>126</v>
      </c>
      <c r="J94" s="10">
        <v>0</v>
      </c>
      <c r="K94" s="10">
        <v>0</v>
      </c>
      <c r="L94" s="13" t="e">
        <f>VLOOKUP(表1[[#This Row],[物品名称]],[1]!表1_8[#Data],2,FALSE)</f>
        <v>#REF!</v>
      </c>
      <c r="M94" s="13" t="e">
        <f>VLOOKUP(表1[[#This Row],[物品描述]],[1]!表1_8[#Data],2,FALSE)</f>
        <v>#REF!</v>
      </c>
    </row>
    <row r="95" spans="1:13" ht="17.25" x14ac:dyDescent="0.35">
      <c r="A95" s="15" t="s">
        <v>127</v>
      </c>
      <c r="B95" s="11" t="s">
        <v>538</v>
      </c>
      <c r="C95" s="11" t="s">
        <v>539</v>
      </c>
      <c r="D95" s="10">
        <v>4</v>
      </c>
      <c r="E95" s="10">
        <v>-1</v>
      </c>
      <c r="F95" s="10">
        <v>10</v>
      </c>
      <c r="G95" s="10">
        <v>0</v>
      </c>
      <c r="H95" s="10">
        <v>0</v>
      </c>
      <c r="I95" s="10" t="s">
        <v>128</v>
      </c>
      <c r="J95" s="10">
        <v>0</v>
      </c>
      <c r="K95" s="10">
        <v>0</v>
      </c>
      <c r="L95" s="13" t="e">
        <f>VLOOKUP(表1[[#This Row],[物品名称]],[1]!表1_8[#Data],2,FALSE)</f>
        <v>#REF!</v>
      </c>
      <c r="M95" s="13" t="e">
        <f>VLOOKUP(表1[[#This Row],[物品描述]],[1]!表1_8[#Data],2,FALSE)</f>
        <v>#REF!</v>
      </c>
    </row>
    <row r="96" spans="1:13" ht="17.25" x14ac:dyDescent="0.35">
      <c r="A96" s="15" t="s">
        <v>129</v>
      </c>
      <c r="B96" s="11" t="s">
        <v>540</v>
      </c>
      <c r="C96" s="11" t="s">
        <v>541</v>
      </c>
      <c r="D96" s="10">
        <v>4</v>
      </c>
      <c r="E96" s="10">
        <v>-1</v>
      </c>
      <c r="F96" s="10">
        <v>10</v>
      </c>
      <c r="G96" s="10">
        <v>0</v>
      </c>
      <c r="H96" s="10">
        <v>0</v>
      </c>
      <c r="I96" s="10" t="s">
        <v>130</v>
      </c>
      <c r="J96" s="10">
        <v>0</v>
      </c>
      <c r="K96" s="10">
        <v>0</v>
      </c>
      <c r="L96" s="13" t="e">
        <f>VLOOKUP(表1[[#This Row],[物品名称]],[1]!表1_8[#Data],2,FALSE)</f>
        <v>#REF!</v>
      </c>
      <c r="M96" s="13" t="e">
        <f>VLOOKUP(表1[[#This Row],[物品描述]],[1]!表1_8[#Data],2,FALSE)</f>
        <v>#REF!</v>
      </c>
    </row>
    <row r="97" spans="1:13" ht="17.25" x14ac:dyDescent="0.35">
      <c r="A97" s="15" t="s">
        <v>131</v>
      </c>
      <c r="B97" s="11" t="s">
        <v>542</v>
      </c>
      <c r="C97" s="11" t="s">
        <v>543</v>
      </c>
      <c r="D97" s="10">
        <v>4</v>
      </c>
      <c r="E97" s="10">
        <v>-1</v>
      </c>
      <c r="F97" s="10">
        <v>10</v>
      </c>
      <c r="G97" s="10">
        <v>0</v>
      </c>
      <c r="H97" s="10">
        <v>0</v>
      </c>
      <c r="I97" s="10" t="s">
        <v>132</v>
      </c>
      <c r="J97" s="10">
        <v>0</v>
      </c>
      <c r="K97" s="10">
        <v>0</v>
      </c>
      <c r="L97" s="13" t="e">
        <f>VLOOKUP(表1[[#This Row],[物品名称]],[1]!表1_8[#Data],2,FALSE)</f>
        <v>#REF!</v>
      </c>
      <c r="M97" s="13" t="e">
        <f>VLOOKUP(表1[[#This Row],[物品描述]],[1]!表1_8[#Data],2,FALSE)</f>
        <v>#REF!</v>
      </c>
    </row>
    <row r="98" spans="1:13" ht="17.25" x14ac:dyDescent="0.35">
      <c r="A98" s="15" t="s">
        <v>133</v>
      </c>
      <c r="B98" s="11" t="s">
        <v>544</v>
      </c>
      <c r="C98" s="11" t="s">
        <v>545</v>
      </c>
      <c r="D98" s="10">
        <v>4</v>
      </c>
      <c r="E98" s="10">
        <v>-1</v>
      </c>
      <c r="F98" s="10">
        <v>10</v>
      </c>
      <c r="G98" s="10">
        <v>0</v>
      </c>
      <c r="H98" s="10">
        <v>0</v>
      </c>
      <c r="I98" s="10" t="s">
        <v>134</v>
      </c>
      <c r="J98" s="10">
        <v>0</v>
      </c>
      <c r="K98" s="10">
        <v>0</v>
      </c>
      <c r="L98" s="13" t="e">
        <f>VLOOKUP(表1[[#This Row],[物品名称]],[1]!表1_8[#Data],2,FALSE)</f>
        <v>#REF!</v>
      </c>
      <c r="M98" s="13" t="e">
        <f>VLOOKUP(表1[[#This Row],[物品描述]],[1]!表1_8[#Data],2,FALSE)</f>
        <v>#REF!</v>
      </c>
    </row>
    <row r="99" spans="1:13" ht="17.25" x14ac:dyDescent="0.35">
      <c r="A99" s="15" t="s">
        <v>135</v>
      </c>
      <c r="B99" s="11" t="s">
        <v>546</v>
      </c>
      <c r="C99" s="11" t="s">
        <v>547</v>
      </c>
      <c r="D99" s="10">
        <v>4</v>
      </c>
      <c r="E99" s="10">
        <v>-1</v>
      </c>
      <c r="F99" s="10">
        <v>10</v>
      </c>
      <c r="G99" s="10">
        <v>0</v>
      </c>
      <c r="H99" s="10">
        <v>0</v>
      </c>
      <c r="I99" s="10" t="s">
        <v>136</v>
      </c>
      <c r="J99" s="10">
        <v>0</v>
      </c>
      <c r="K99" s="10">
        <v>0</v>
      </c>
      <c r="L99" s="13" t="e">
        <f>VLOOKUP(表1[[#This Row],[物品名称]],[1]!表1_8[#Data],2,FALSE)</f>
        <v>#REF!</v>
      </c>
      <c r="M99" s="13" t="e">
        <f>VLOOKUP(表1[[#This Row],[物品描述]],[1]!表1_8[#Data],2,FALSE)</f>
        <v>#REF!</v>
      </c>
    </row>
    <row r="100" spans="1:13" ht="17.25" x14ac:dyDescent="0.35">
      <c r="A100" s="15" t="s">
        <v>137</v>
      </c>
      <c r="B100" s="11" t="s">
        <v>548</v>
      </c>
      <c r="C100" s="11" t="s">
        <v>549</v>
      </c>
      <c r="D100" s="10">
        <v>4</v>
      </c>
      <c r="E100" s="10">
        <v>-1</v>
      </c>
      <c r="F100" s="10">
        <v>10</v>
      </c>
      <c r="G100" s="10">
        <v>0</v>
      </c>
      <c r="H100" s="10">
        <v>0</v>
      </c>
      <c r="I100" s="10" t="s">
        <v>138</v>
      </c>
      <c r="J100" s="10">
        <v>0</v>
      </c>
      <c r="K100" s="10">
        <v>0</v>
      </c>
      <c r="L100" s="13" t="e">
        <f>VLOOKUP(表1[[#This Row],[物品名称]],[1]!表1_8[#Data],2,FALSE)</f>
        <v>#REF!</v>
      </c>
      <c r="M100" s="13" t="e">
        <f>VLOOKUP(表1[[#This Row],[物品描述]],[1]!表1_8[#Data],2,FALSE)</f>
        <v>#REF!</v>
      </c>
    </row>
    <row r="101" spans="1:13" ht="17.25" x14ac:dyDescent="0.35">
      <c r="A101" s="15" t="s">
        <v>139</v>
      </c>
      <c r="B101" s="11" t="s">
        <v>550</v>
      </c>
      <c r="C101" s="11" t="s">
        <v>551</v>
      </c>
      <c r="D101" s="10">
        <v>4</v>
      </c>
      <c r="E101" s="10">
        <v>-1</v>
      </c>
      <c r="F101" s="10">
        <v>10</v>
      </c>
      <c r="G101" s="10">
        <v>0</v>
      </c>
      <c r="H101" s="10">
        <v>0</v>
      </c>
      <c r="I101" s="10" t="s">
        <v>140</v>
      </c>
      <c r="J101" s="10">
        <v>0</v>
      </c>
      <c r="K101" s="10">
        <v>0</v>
      </c>
      <c r="L101" s="13" t="e">
        <f>VLOOKUP(表1[[#This Row],[物品名称]],[1]!表1_8[#Data],2,FALSE)</f>
        <v>#REF!</v>
      </c>
      <c r="M101" s="13" t="e">
        <f>VLOOKUP(表1[[#This Row],[物品描述]],[1]!表1_8[#Data],2,FALSE)</f>
        <v>#REF!</v>
      </c>
    </row>
    <row r="102" spans="1:13" ht="17.25" x14ac:dyDescent="0.35">
      <c r="A102" s="15" t="s">
        <v>141</v>
      </c>
      <c r="B102" s="11" t="s">
        <v>552</v>
      </c>
      <c r="C102" s="11" t="s">
        <v>553</v>
      </c>
      <c r="D102" s="10">
        <v>4</v>
      </c>
      <c r="E102" s="10">
        <v>-1</v>
      </c>
      <c r="F102" s="10">
        <v>10</v>
      </c>
      <c r="G102" s="10">
        <v>0</v>
      </c>
      <c r="H102" s="10">
        <v>0</v>
      </c>
      <c r="I102" s="10" t="s">
        <v>142</v>
      </c>
      <c r="J102" s="10">
        <v>0</v>
      </c>
      <c r="K102" s="10">
        <v>0</v>
      </c>
      <c r="L102" s="13" t="e">
        <f>VLOOKUP(表1[[#This Row],[物品名称]],[1]!表1_8[#Data],2,FALSE)</f>
        <v>#REF!</v>
      </c>
      <c r="M102" s="13" t="e">
        <f>VLOOKUP(表1[[#This Row],[物品描述]],[1]!表1_8[#Data],2,FALSE)</f>
        <v>#REF!</v>
      </c>
    </row>
    <row r="103" spans="1:13" ht="17.25" x14ac:dyDescent="0.35">
      <c r="A103" s="10" t="s">
        <v>143</v>
      </c>
      <c r="B103" s="11" t="s">
        <v>554</v>
      </c>
      <c r="C103" s="11" t="s">
        <v>555</v>
      </c>
      <c r="D103" s="10">
        <v>4</v>
      </c>
      <c r="E103" s="10">
        <v>-1</v>
      </c>
      <c r="F103" s="10">
        <v>100</v>
      </c>
      <c r="G103" s="10">
        <v>0</v>
      </c>
      <c r="H103" s="10">
        <v>0</v>
      </c>
      <c r="I103" s="10" t="s">
        <v>144</v>
      </c>
      <c r="J103" s="10">
        <v>0</v>
      </c>
      <c r="K103" s="10">
        <v>0</v>
      </c>
      <c r="L103" s="13" t="e">
        <f>VLOOKUP(表1[[#This Row],[物品名称]],[1]!表1_8[#Data],2,FALSE)</f>
        <v>#REF!</v>
      </c>
      <c r="M103" s="13" t="e">
        <f>VLOOKUP(表1[[#This Row],[物品描述]],[1]!表1_8[#Data],2,FALSE)</f>
        <v>#REF!</v>
      </c>
    </row>
    <row r="104" spans="1:13" ht="17.25" x14ac:dyDescent="0.35">
      <c r="A104" s="10" t="s">
        <v>145</v>
      </c>
      <c r="B104" s="11" t="s">
        <v>556</v>
      </c>
      <c r="C104" s="11" t="s">
        <v>557</v>
      </c>
      <c r="D104" s="10">
        <v>4</v>
      </c>
      <c r="E104" s="10">
        <v>-1</v>
      </c>
      <c r="F104" s="10">
        <v>100</v>
      </c>
      <c r="G104" s="10">
        <v>0</v>
      </c>
      <c r="H104" s="10">
        <v>0</v>
      </c>
      <c r="I104" s="10" t="s">
        <v>146</v>
      </c>
      <c r="J104" s="10">
        <v>0</v>
      </c>
      <c r="K104" s="10">
        <v>0</v>
      </c>
      <c r="L104" s="13" t="e">
        <f>VLOOKUP(表1[[#This Row],[物品名称]],[1]!表1_8[#Data],2,FALSE)</f>
        <v>#REF!</v>
      </c>
      <c r="M104" s="13" t="e">
        <f>VLOOKUP(表1[[#This Row],[物品描述]],[1]!表1_8[#Data],2,FALSE)</f>
        <v>#REF!</v>
      </c>
    </row>
    <row r="105" spans="1:13" ht="17.25" x14ac:dyDescent="0.35">
      <c r="A105" s="10" t="s">
        <v>147</v>
      </c>
      <c r="B105" s="11" t="s">
        <v>558</v>
      </c>
      <c r="C105" s="11" t="s">
        <v>559</v>
      </c>
      <c r="D105" s="10">
        <v>4</v>
      </c>
      <c r="E105" s="10">
        <v>-1</v>
      </c>
      <c r="F105" s="10">
        <v>100</v>
      </c>
      <c r="G105" s="10">
        <v>0</v>
      </c>
      <c r="H105" s="10">
        <v>0</v>
      </c>
      <c r="I105" s="10" t="s">
        <v>148</v>
      </c>
      <c r="J105" s="10">
        <v>0</v>
      </c>
      <c r="K105" s="10">
        <v>0</v>
      </c>
      <c r="L105" s="13" t="e">
        <f>VLOOKUP(表1[[#This Row],[物品名称]],[1]!表1_8[#Data],2,FALSE)</f>
        <v>#REF!</v>
      </c>
      <c r="M105" s="13" t="e">
        <f>VLOOKUP(表1[[#This Row],[物品描述]],[1]!表1_8[#Data],2,FALSE)</f>
        <v>#REF!</v>
      </c>
    </row>
    <row r="106" spans="1:13" ht="17.25" x14ac:dyDescent="0.35">
      <c r="A106" s="10" t="s">
        <v>149</v>
      </c>
      <c r="B106" s="11" t="s">
        <v>560</v>
      </c>
      <c r="C106" s="11" t="s">
        <v>561</v>
      </c>
      <c r="D106" s="10">
        <v>4</v>
      </c>
      <c r="E106" s="10">
        <v>-1</v>
      </c>
      <c r="F106" s="10">
        <v>100</v>
      </c>
      <c r="G106" s="10">
        <v>0</v>
      </c>
      <c r="H106" s="10">
        <v>0</v>
      </c>
      <c r="I106" s="10" t="s">
        <v>288</v>
      </c>
      <c r="J106" s="10">
        <v>0</v>
      </c>
      <c r="K106" s="10">
        <v>0</v>
      </c>
      <c r="L106" s="13" t="e">
        <f>VLOOKUP(表1[[#This Row],[物品名称]],[1]!表1_8[#Data],2,FALSE)</f>
        <v>#REF!</v>
      </c>
      <c r="M106" s="13" t="e">
        <f>VLOOKUP(表1[[#This Row],[物品描述]],[1]!表1_8[#Data],2,FALSE)</f>
        <v>#REF!</v>
      </c>
    </row>
    <row r="107" spans="1:13" ht="17.25" x14ac:dyDescent="0.35">
      <c r="A107" s="10" t="s">
        <v>150</v>
      </c>
      <c r="B107" s="11" t="s">
        <v>562</v>
      </c>
      <c r="C107" s="11" t="s">
        <v>563</v>
      </c>
      <c r="D107" s="10">
        <v>4</v>
      </c>
      <c r="E107" s="10">
        <v>-1</v>
      </c>
      <c r="F107" s="10">
        <v>100</v>
      </c>
      <c r="G107" s="10">
        <v>0</v>
      </c>
      <c r="H107" s="10">
        <v>0</v>
      </c>
      <c r="I107" s="10" t="s">
        <v>148</v>
      </c>
      <c r="J107" s="10">
        <v>0</v>
      </c>
      <c r="K107" s="10">
        <v>0</v>
      </c>
      <c r="L107" s="13" t="e">
        <f>VLOOKUP(表1[[#This Row],[物品名称]],[1]!表1_8[#Data],2,FALSE)</f>
        <v>#REF!</v>
      </c>
      <c r="M107" s="13" t="e">
        <f>VLOOKUP(表1[[#This Row],[物品描述]],[1]!表1_8[#Data],2,FALSE)</f>
        <v>#REF!</v>
      </c>
    </row>
    <row r="108" spans="1:13" ht="17.25" x14ac:dyDescent="0.35">
      <c r="A108" s="10" t="s">
        <v>151</v>
      </c>
      <c r="B108" s="11" t="s">
        <v>564</v>
      </c>
      <c r="C108" s="11" t="s">
        <v>565</v>
      </c>
      <c r="D108" s="10">
        <v>4</v>
      </c>
      <c r="E108" s="10">
        <v>-1</v>
      </c>
      <c r="F108" s="10">
        <v>100</v>
      </c>
      <c r="G108" s="10">
        <v>0</v>
      </c>
      <c r="H108" s="10">
        <v>0</v>
      </c>
      <c r="I108" s="10" t="s">
        <v>148</v>
      </c>
      <c r="J108" s="10">
        <v>0</v>
      </c>
      <c r="K108" s="10">
        <v>0</v>
      </c>
      <c r="L108" s="13" t="e">
        <f>VLOOKUP(表1[[#This Row],[物品名称]],[1]!表1_8[#Data],2,FALSE)</f>
        <v>#REF!</v>
      </c>
      <c r="M108" s="13" t="e">
        <f>VLOOKUP(表1[[#This Row],[物品描述]],[1]!表1_8[#Data],2,FALSE)</f>
        <v>#REF!</v>
      </c>
    </row>
    <row r="109" spans="1:13" ht="17.25" x14ac:dyDescent="0.35">
      <c r="A109" s="10" t="s">
        <v>152</v>
      </c>
      <c r="B109" s="11" t="s">
        <v>566</v>
      </c>
      <c r="C109" s="11" t="s">
        <v>567</v>
      </c>
      <c r="D109" s="10">
        <v>4</v>
      </c>
      <c r="E109" s="10">
        <v>-1</v>
      </c>
      <c r="F109" s="10">
        <v>100</v>
      </c>
      <c r="G109" s="10">
        <v>0</v>
      </c>
      <c r="H109" s="10">
        <v>0</v>
      </c>
      <c r="I109" s="10" t="s">
        <v>148</v>
      </c>
      <c r="J109" s="10">
        <v>0</v>
      </c>
      <c r="K109" s="10">
        <v>0</v>
      </c>
      <c r="L109" s="13" t="e">
        <f>VLOOKUP(表1[[#This Row],[物品名称]],[1]!表1_8[#Data],2,FALSE)</f>
        <v>#REF!</v>
      </c>
      <c r="M109" s="13" t="e">
        <f>VLOOKUP(表1[[#This Row],[物品描述]],[1]!表1_8[#Data],2,FALSE)</f>
        <v>#REF!</v>
      </c>
    </row>
    <row r="110" spans="1:13" ht="17.25" x14ac:dyDescent="0.35">
      <c r="A110" s="10" t="s">
        <v>153</v>
      </c>
      <c r="B110" s="11" t="s">
        <v>568</v>
      </c>
      <c r="C110" s="11" t="s">
        <v>569</v>
      </c>
      <c r="D110" s="10">
        <v>4</v>
      </c>
      <c r="E110" s="10">
        <v>-1</v>
      </c>
      <c r="F110" s="10">
        <v>100</v>
      </c>
      <c r="G110" s="10">
        <v>0</v>
      </c>
      <c r="H110" s="10">
        <v>0</v>
      </c>
      <c r="I110" s="10" t="s">
        <v>148</v>
      </c>
      <c r="J110" s="10">
        <v>0</v>
      </c>
      <c r="K110" s="10">
        <v>0</v>
      </c>
      <c r="L110" s="13" t="e">
        <f>VLOOKUP(表1[[#This Row],[物品名称]],[1]!表1_8[#Data],2,FALSE)</f>
        <v>#REF!</v>
      </c>
      <c r="M110" s="13" t="e">
        <f>VLOOKUP(表1[[#This Row],[物品描述]],[1]!表1_8[#Data],2,FALSE)</f>
        <v>#REF!</v>
      </c>
    </row>
    <row r="111" spans="1:13" ht="17.25" x14ac:dyDescent="0.35">
      <c r="A111" s="10" t="s">
        <v>154</v>
      </c>
      <c r="B111" s="11" t="s">
        <v>570</v>
      </c>
      <c r="C111" s="11" t="s">
        <v>571</v>
      </c>
      <c r="D111" s="10">
        <v>4</v>
      </c>
      <c r="E111" s="10">
        <v>-1</v>
      </c>
      <c r="F111" s="10">
        <v>100</v>
      </c>
      <c r="G111" s="10">
        <v>0</v>
      </c>
      <c r="H111" s="10">
        <v>0</v>
      </c>
      <c r="I111" s="10" t="s">
        <v>148</v>
      </c>
      <c r="J111" s="10">
        <v>0</v>
      </c>
      <c r="K111" s="10">
        <v>0</v>
      </c>
      <c r="L111" s="13" t="e">
        <f>VLOOKUP(表1[[#This Row],[物品名称]],[1]!表1_8[#Data],2,FALSE)</f>
        <v>#REF!</v>
      </c>
      <c r="M111" s="13" t="e">
        <f>VLOOKUP(表1[[#This Row],[物品描述]],[1]!表1_8[#Data],2,FALSE)</f>
        <v>#REF!</v>
      </c>
    </row>
    <row r="112" spans="1:13" ht="17.25" x14ac:dyDescent="0.35">
      <c r="A112" s="10" t="s">
        <v>155</v>
      </c>
      <c r="B112" s="11" t="s">
        <v>572</v>
      </c>
      <c r="C112" s="11" t="s">
        <v>573</v>
      </c>
      <c r="D112" s="10">
        <v>4</v>
      </c>
      <c r="E112" s="10">
        <v>-1</v>
      </c>
      <c r="F112" s="10">
        <v>100</v>
      </c>
      <c r="G112" s="10">
        <v>0</v>
      </c>
      <c r="H112" s="10">
        <v>0</v>
      </c>
      <c r="I112" s="10" t="s">
        <v>148</v>
      </c>
      <c r="J112" s="10">
        <v>0</v>
      </c>
      <c r="K112" s="10">
        <v>0</v>
      </c>
      <c r="L112" s="13" t="e">
        <f>VLOOKUP(表1[[#This Row],[物品名称]],[1]!表1_8[#Data],2,FALSE)</f>
        <v>#REF!</v>
      </c>
      <c r="M112" s="13" t="e">
        <f>VLOOKUP(表1[[#This Row],[物品描述]],[1]!表1_8[#Data],2,FALSE)</f>
        <v>#REF!</v>
      </c>
    </row>
    <row r="113" spans="1:13" ht="17.25" x14ac:dyDescent="0.35">
      <c r="A113" s="10" t="s">
        <v>172</v>
      </c>
      <c r="B113" s="11" t="s">
        <v>574</v>
      </c>
      <c r="C113" s="11" t="s">
        <v>575</v>
      </c>
      <c r="D113" s="10">
        <v>10</v>
      </c>
      <c r="E113" s="10">
        <v>-1</v>
      </c>
      <c r="F113" s="10">
        <v>100</v>
      </c>
      <c r="G113" s="10">
        <v>0</v>
      </c>
      <c r="H113" s="10">
        <v>0</v>
      </c>
      <c r="I113" s="10" t="s">
        <v>186</v>
      </c>
      <c r="J113" s="10">
        <v>0</v>
      </c>
      <c r="K113" s="10">
        <v>0</v>
      </c>
      <c r="L113" s="12" t="e">
        <f>VLOOKUP(表1[[#This Row],[物品名称]],[1]!表1_8[#Data],2,FALSE)</f>
        <v>#REF!</v>
      </c>
      <c r="M113" s="12" t="e">
        <f>VLOOKUP(表1[[#This Row],[物品描述]],[1]!表1_8[#Data],2,FALSE)</f>
        <v>#REF!</v>
      </c>
    </row>
    <row r="114" spans="1:13" ht="17.25" x14ac:dyDescent="0.35">
      <c r="A114" s="10" t="s">
        <v>173</v>
      </c>
      <c r="B114" s="11" t="s">
        <v>576</v>
      </c>
      <c r="C114" s="11" t="s">
        <v>577</v>
      </c>
      <c r="D114" s="10">
        <v>10</v>
      </c>
      <c r="E114" s="10">
        <v>-1</v>
      </c>
      <c r="F114" s="10">
        <v>100</v>
      </c>
      <c r="G114" s="10">
        <v>0</v>
      </c>
      <c r="H114" s="10">
        <v>0</v>
      </c>
      <c r="I114" s="10" t="s">
        <v>187</v>
      </c>
      <c r="J114" s="10">
        <v>0</v>
      </c>
      <c r="K114" s="10">
        <v>0</v>
      </c>
      <c r="L114" s="12" t="e">
        <f>VLOOKUP(表1[[#This Row],[物品名称]],[1]!表1_8[#Data],2,FALSE)</f>
        <v>#REF!</v>
      </c>
      <c r="M114" s="12" t="e">
        <f>VLOOKUP(表1[[#This Row],[物品描述]],[1]!表1_8[#Data],2,FALSE)</f>
        <v>#REF!</v>
      </c>
    </row>
    <row r="115" spans="1:13" ht="17.25" x14ac:dyDescent="0.35">
      <c r="A115" s="10" t="s">
        <v>176</v>
      </c>
      <c r="B115" s="11" t="s">
        <v>578</v>
      </c>
      <c r="C115" s="11" t="s">
        <v>579</v>
      </c>
      <c r="D115" s="10">
        <v>10</v>
      </c>
      <c r="E115" s="10">
        <v>-1</v>
      </c>
      <c r="F115" s="10">
        <v>100</v>
      </c>
      <c r="G115" s="10">
        <v>0</v>
      </c>
      <c r="H115" s="10">
        <v>0</v>
      </c>
      <c r="I115" s="10" t="s">
        <v>188</v>
      </c>
      <c r="J115" s="10">
        <v>0</v>
      </c>
      <c r="K115" s="10">
        <v>0</v>
      </c>
      <c r="L115" s="12" t="e">
        <f>VLOOKUP(表1[[#This Row],[物品名称]],[1]!表1_8[#Data],2,FALSE)</f>
        <v>#REF!</v>
      </c>
      <c r="M115" s="12" t="e">
        <f>VLOOKUP(表1[[#This Row],[物品描述]],[1]!表1_8[#Data],2,FALSE)</f>
        <v>#REF!</v>
      </c>
    </row>
    <row r="116" spans="1:13" ht="17.25" x14ac:dyDescent="0.35">
      <c r="A116" s="10" t="s">
        <v>177</v>
      </c>
      <c r="B116" s="11" t="s">
        <v>580</v>
      </c>
      <c r="C116" s="11" t="s">
        <v>581</v>
      </c>
      <c r="D116" s="10">
        <v>10</v>
      </c>
      <c r="E116" s="10">
        <v>-1</v>
      </c>
      <c r="F116" s="10">
        <v>100</v>
      </c>
      <c r="G116" s="10">
        <v>0</v>
      </c>
      <c r="H116" s="10">
        <v>0</v>
      </c>
      <c r="I116" s="10" t="s">
        <v>189</v>
      </c>
      <c r="J116" s="10">
        <v>0</v>
      </c>
      <c r="K116" s="10">
        <v>0</v>
      </c>
      <c r="L116" s="12" t="e">
        <f>VLOOKUP(表1[[#This Row],[物品名称]],[1]!表1_8[#Data],2,FALSE)</f>
        <v>#REF!</v>
      </c>
      <c r="M116" s="12" t="e">
        <f>VLOOKUP(表1[[#This Row],[物品描述]],[1]!表1_8[#Data],2,FALSE)</f>
        <v>#REF!</v>
      </c>
    </row>
    <row r="117" spans="1:13" ht="17.25" x14ac:dyDescent="0.35">
      <c r="A117" s="10" t="s">
        <v>178</v>
      </c>
      <c r="B117" s="11" t="s">
        <v>582</v>
      </c>
      <c r="C117" s="11" t="s">
        <v>583</v>
      </c>
      <c r="D117" s="10">
        <v>10</v>
      </c>
      <c r="E117" s="10">
        <v>-1</v>
      </c>
      <c r="F117" s="10">
        <v>100</v>
      </c>
      <c r="G117" s="10">
        <v>0</v>
      </c>
      <c r="H117" s="10">
        <v>0</v>
      </c>
      <c r="I117" s="10" t="s">
        <v>190</v>
      </c>
      <c r="J117" s="10">
        <v>0</v>
      </c>
      <c r="K117" s="10">
        <v>0</v>
      </c>
      <c r="L117" s="12" t="e">
        <f>VLOOKUP(表1[[#This Row],[物品名称]],[1]!表1_8[#Data],2,FALSE)</f>
        <v>#REF!</v>
      </c>
      <c r="M117" s="12" t="e">
        <f>VLOOKUP(表1[[#This Row],[物品描述]],[1]!表1_8[#Data],2,FALSE)</f>
        <v>#REF!</v>
      </c>
    </row>
    <row r="118" spans="1:13" ht="17.25" x14ac:dyDescent="0.35">
      <c r="A118" s="10" t="s">
        <v>174</v>
      </c>
      <c r="B118" s="11" t="s">
        <v>584</v>
      </c>
      <c r="C118" s="11" t="s">
        <v>585</v>
      </c>
      <c r="D118" s="10">
        <v>11</v>
      </c>
      <c r="E118" s="10">
        <v>-1</v>
      </c>
      <c r="F118" s="10">
        <v>100</v>
      </c>
      <c r="G118" s="10">
        <v>0</v>
      </c>
      <c r="H118" s="10">
        <v>0</v>
      </c>
      <c r="I118" s="10" t="s">
        <v>191</v>
      </c>
      <c r="J118" s="10">
        <v>0</v>
      </c>
      <c r="K118" s="10">
        <v>0</v>
      </c>
      <c r="L118" s="12" t="e">
        <f>VLOOKUP(表1[[#This Row],[物品名称]],[1]!表1_8[#Data],2,FALSE)</f>
        <v>#REF!</v>
      </c>
      <c r="M118" s="12" t="e">
        <f>VLOOKUP(表1[[#This Row],[物品描述]],[1]!表1_8[#Data],2,FALSE)</f>
        <v>#REF!</v>
      </c>
    </row>
    <row r="119" spans="1:13" ht="17.25" x14ac:dyDescent="0.35">
      <c r="A119" s="10" t="s">
        <v>179</v>
      </c>
      <c r="B119" s="11" t="s">
        <v>586</v>
      </c>
      <c r="C119" s="11" t="s">
        <v>587</v>
      </c>
      <c r="D119" s="10">
        <v>11</v>
      </c>
      <c r="E119" s="10">
        <v>-1</v>
      </c>
      <c r="F119" s="10">
        <v>100</v>
      </c>
      <c r="G119" s="10">
        <v>0</v>
      </c>
      <c r="H119" s="10">
        <v>0</v>
      </c>
      <c r="I119" s="10" t="s">
        <v>192</v>
      </c>
      <c r="J119" s="10">
        <v>0</v>
      </c>
      <c r="K119" s="10">
        <v>0</v>
      </c>
      <c r="L119" s="12" t="e">
        <f>VLOOKUP(表1[[#This Row],[物品名称]],[1]!表1_8[#Data],2,FALSE)</f>
        <v>#REF!</v>
      </c>
      <c r="M119" s="12" t="e">
        <f>VLOOKUP(表1[[#This Row],[物品描述]],[1]!表1_8[#Data],2,FALSE)</f>
        <v>#REF!</v>
      </c>
    </row>
    <row r="120" spans="1:13" ht="17.25" x14ac:dyDescent="0.35">
      <c r="A120" s="10" t="s">
        <v>180</v>
      </c>
      <c r="B120" s="11" t="s">
        <v>588</v>
      </c>
      <c r="C120" s="11" t="s">
        <v>589</v>
      </c>
      <c r="D120" s="10">
        <v>11</v>
      </c>
      <c r="E120" s="10">
        <v>-1</v>
      </c>
      <c r="F120" s="10">
        <v>100</v>
      </c>
      <c r="G120" s="10">
        <v>0</v>
      </c>
      <c r="H120" s="10">
        <v>0</v>
      </c>
      <c r="I120" s="10" t="s">
        <v>193</v>
      </c>
      <c r="J120" s="10">
        <v>0</v>
      </c>
      <c r="K120" s="10">
        <v>0</v>
      </c>
      <c r="L120" s="12" t="e">
        <f>VLOOKUP(表1[[#This Row],[物品名称]],[1]!表1_8[#Data],2,FALSE)</f>
        <v>#REF!</v>
      </c>
      <c r="M120" s="12" t="e">
        <f>VLOOKUP(表1[[#This Row],[物品描述]],[1]!表1_8[#Data],2,FALSE)</f>
        <v>#REF!</v>
      </c>
    </row>
    <row r="121" spans="1:13" ht="17.25" x14ac:dyDescent="0.35">
      <c r="A121" s="10" t="s">
        <v>181</v>
      </c>
      <c r="B121" s="11" t="s">
        <v>590</v>
      </c>
      <c r="C121" s="11" t="s">
        <v>591</v>
      </c>
      <c r="D121" s="10">
        <v>11</v>
      </c>
      <c r="E121" s="10">
        <v>-1</v>
      </c>
      <c r="F121" s="10">
        <v>100</v>
      </c>
      <c r="G121" s="10">
        <v>0</v>
      </c>
      <c r="H121" s="10">
        <v>0</v>
      </c>
      <c r="I121" s="10" t="s">
        <v>194</v>
      </c>
      <c r="J121" s="10">
        <v>0</v>
      </c>
      <c r="K121" s="10">
        <v>0</v>
      </c>
      <c r="L121" s="12" t="e">
        <f>VLOOKUP(表1[[#This Row],[物品名称]],[1]!表1_8[#Data],2,FALSE)</f>
        <v>#REF!</v>
      </c>
      <c r="M121" s="12" t="e">
        <f>VLOOKUP(表1[[#This Row],[物品描述]],[1]!表1_8[#Data],2,FALSE)</f>
        <v>#REF!</v>
      </c>
    </row>
    <row r="122" spans="1:13" ht="17.25" x14ac:dyDescent="0.35">
      <c r="A122" s="10" t="s">
        <v>182</v>
      </c>
      <c r="B122" s="11" t="s">
        <v>592</v>
      </c>
      <c r="C122" s="11" t="s">
        <v>593</v>
      </c>
      <c r="D122" s="10">
        <v>11</v>
      </c>
      <c r="E122" s="10">
        <v>-1</v>
      </c>
      <c r="F122" s="10">
        <v>100</v>
      </c>
      <c r="G122" s="10">
        <v>0</v>
      </c>
      <c r="H122" s="10">
        <v>0</v>
      </c>
      <c r="I122" s="10" t="s">
        <v>195</v>
      </c>
      <c r="J122" s="10">
        <v>0</v>
      </c>
      <c r="K122" s="10">
        <v>0</v>
      </c>
      <c r="L122" s="12" t="e">
        <f>VLOOKUP(表1[[#This Row],[物品名称]],[1]!表1_8[#Data],2,FALSE)</f>
        <v>#REF!</v>
      </c>
      <c r="M122" s="12" t="e">
        <f>VLOOKUP(表1[[#This Row],[物品描述]],[1]!表1_8[#Data],2,FALSE)</f>
        <v>#REF!</v>
      </c>
    </row>
    <row r="123" spans="1:13" ht="17.25" x14ac:dyDescent="0.35">
      <c r="A123" s="10" t="s">
        <v>351</v>
      </c>
      <c r="B123" s="11" t="s">
        <v>590</v>
      </c>
      <c r="C123" s="11" t="s">
        <v>591</v>
      </c>
      <c r="D123" s="10">
        <v>10</v>
      </c>
      <c r="E123" s="10">
        <v>-1</v>
      </c>
      <c r="F123" s="10">
        <v>100</v>
      </c>
      <c r="G123" s="10">
        <v>0</v>
      </c>
      <c r="H123" s="10">
        <v>0</v>
      </c>
      <c r="I123" s="10" t="s">
        <v>684</v>
      </c>
      <c r="J123" s="10">
        <v>0</v>
      </c>
      <c r="K123" s="10">
        <v>0</v>
      </c>
      <c r="L123" s="12" t="e">
        <f>VLOOKUP(表1[[#This Row],[物品名称]],[1]!表1_8[#Data],2,FALSE)</f>
        <v>#REF!</v>
      </c>
      <c r="M123" s="12" t="e">
        <f>VLOOKUP(表1[[#This Row],[物品描述]],[1]!表1_8[#Data],2,FALSE)</f>
        <v>#REF!</v>
      </c>
    </row>
    <row r="124" spans="1:13" ht="17.25" x14ac:dyDescent="0.35">
      <c r="A124" s="10" t="s">
        <v>352</v>
      </c>
      <c r="B124" s="11" t="s">
        <v>592</v>
      </c>
      <c r="C124" s="11" t="s">
        <v>593</v>
      </c>
      <c r="D124" s="10">
        <v>10</v>
      </c>
      <c r="E124" s="10">
        <v>-1</v>
      </c>
      <c r="F124" s="10">
        <v>100</v>
      </c>
      <c r="G124" s="10">
        <v>0</v>
      </c>
      <c r="H124" s="10">
        <v>0</v>
      </c>
      <c r="I124" s="10" t="s">
        <v>685</v>
      </c>
      <c r="J124" s="10">
        <v>0</v>
      </c>
      <c r="K124" s="10">
        <v>0</v>
      </c>
      <c r="L124" s="12" t="e">
        <f>VLOOKUP(表1[[#This Row],[物品名称]],[1]!表1_8[#Data],2,FALSE)</f>
        <v>#REF!</v>
      </c>
      <c r="M124" s="12" t="e">
        <f>VLOOKUP(表1[[#This Row],[物品描述]],[1]!表1_8[#Data],2,FALSE)</f>
        <v>#REF!</v>
      </c>
    </row>
    <row r="125" spans="1:13" ht="17.25" x14ac:dyDescent="0.35">
      <c r="A125" s="10" t="s">
        <v>353</v>
      </c>
      <c r="B125" s="11" t="s">
        <v>594</v>
      </c>
      <c r="C125" s="11" t="s">
        <v>595</v>
      </c>
      <c r="D125" s="10">
        <v>10</v>
      </c>
      <c r="E125" s="10">
        <v>-1</v>
      </c>
      <c r="F125" s="10">
        <v>100</v>
      </c>
      <c r="G125" s="10">
        <v>0</v>
      </c>
      <c r="H125" s="10">
        <v>0</v>
      </c>
      <c r="I125" s="10" t="s">
        <v>686</v>
      </c>
      <c r="J125" s="10">
        <v>0</v>
      </c>
      <c r="K125" s="10">
        <v>0</v>
      </c>
      <c r="L125" s="12" t="e">
        <f>VLOOKUP(表1[[#This Row],[物品名称]],[1]!表1_8[#Data],2,FALSE)</f>
        <v>#REF!</v>
      </c>
      <c r="M125" s="12" t="e">
        <f>VLOOKUP(表1[[#This Row],[物品描述]],[1]!表1_8[#Data],2,FALSE)</f>
        <v>#REF!</v>
      </c>
    </row>
    <row r="126" spans="1:13" ht="17.25" x14ac:dyDescent="0.35">
      <c r="A126" s="10" t="s">
        <v>354</v>
      </c>
      <c r="B126" s="11" t="s">
        <v>596</v>
      </c>
      <c r="C126" s="11" t="s">
        <v>597</v>
      </c>
      <c r="D126" s="10">
        <v>10</v>
      </c>
      <c r="E126" s="10">
        <v>-1</v>
      </c>
      <c r="F126" s="10">
        <v>100</v>
      </c>
      <c r="G126" s="10">
        <v>0</v>
      </c>
      <c r="H126" s="10">
        <v>0</v>
      </c>
      <c r="I126" s="10" t="s">
        <v>684</v>
      </c>
      <c r="J126" s="10">
        <v>0</v>
      </c>
      <c r="K126" s="10">
        <v>0</v>
      </c>
      <c r="L126" s="12" t="e">
        <f>VLOOKUP(表1[[#This Row],[物品名称]],[1]!表1_8[#Data],2,FALSE)</f>
        <v>#REF!</v>
      </c>
      <c r="M126" s="12" t="e">
        <f>VLOOKUP(表1[[#This Row],[物品描述]],[1]!表1_8[#Data],2,FALSE)</f>
        <v>#REF!</v>
      </c>
    </row>
    <row r="127" spans="1:13" ht="17.25" x14ac:dyDescent="0.35">
      <c r="A127" s="10" t="s">
        <v>355</v>
      </c>
      <c r="B127" s="11" t="s">
        <v>598</v>
      </c>
      <c r="C127" s="11" t="s">
        <v>599</v>
      </c>
      <c r="D127" s="10">
        <v>10</v>
      </c>
      <c r="E127" s="10">
        <v>-1</v>
      </c>
      <c r="F127" s="10">
        <v>100</v>
      </c>
      <c r="G127" s="10">
        <v>0</v>
      </c>
      <c r="H127" s="10">
        <v>0</v>
      </c>
      <c r="I127" s="10" t="s">
        <v>685</v>
      </c>
      <c r="J127" s="10">
        <v>0</v>
      </c>
      <c r="K127" s="10">
        <v>0</v>
      </c>
      <c r="L127" s="12" t="e">
        <f>VLOOKUP(表1[[#This Row],[物品名称]],[1]!表1_8[#Data],2,FALSE)</f>
        <v>#REF!</v>
      </c>
      <c r="M127" s="12" t="e">
        <f>VLOOKUP(表1[[#This Row],[物品描述]],[1]!表1_8[#Data],2,FALSE)</f>
        <v>#REF!</v>
      </c>
    </row>
    <row r="128" spans="1:13" ht="17.25" x14ac:dyDescent="0.35">
      <c r="A128" s="10" t="s">
        <v>356</v>
      </c>
      <c r="B128" s="11" t="s">
        <v>600</v>
      </c>
      <c r="C128" s="11" t="s">
        <v>601</v>
      </c>
      <c r="D128" s="10">
        <v>10</v>
      </c>
      <c r="E128" s="10">
        <v>-1</v>
      </c>
      <c r="F128" s="10">
        <v>100</v>
      </c>
      <c r="G128" s="10">
        <v>0</v>
      </c>
      <c r="H128" s="10">
        <v>0</v>
      </c>
      <c r="I128" s="10" t="s">
        <v>686</v>
      </c>
      <c r="J128" s="10">
        <v>0</v>
      </c>
      <c r="K128" s="10">
        <v>0</v>
      </c>
      <c r="L128" s="12" t="e">
        <f>VLOOKUP(表1[[#This Row],[物品名称]],[1]!表1_8[#Data],2,FALSE)</f>
        <v>#REF!</v>
      </c>
      <c r="M128" s="12" t="e">
        <f>VLOOKUP(表1[[#This Row],[物品描述]],[1]!表1_8[#Data],2,FALSE)</f>
        <v>#REF!</v>
      </c>
    </row>
    <row r="129" spans="1:15" ht="17.25" x14ac:dyDescent="0.35">
      <c r="A129" s="10" t="s">
        <v>357</v>
      </c>
      <c r="B129" s="11" t="s">
        <v>602</v>
      </c>
      <c r="C129" s="11" t="s">
        <v>603</v>
      </c>
      <c r="D129" s="10">
        <v>10</v>
      </c>
      <c r="E129" s="10">
        <v>-1</v>
      </c>
      <c r="F129" s="10">
        <v>100</v>
      </c>
      <c r="G129" s="10">
        <v>0</v>
      </c>
      <c r="H129" s="10">
        <v>0</v>
      </c>
      <c r="I129" s="10" t="s">
        <v>684</v>
      </c>
      <c r="J129" s="10">
        <v>0</v>
      </c>
      <c r="K129" s="10">
        <v>0</v>
      </c>
      <c r="L129" s="12" t="e">
        <f>VLOOKUP(表1[[#This Row],[物品名称]],[1]!表1_8[#Data],2,FALSE)</f>
        <v>#REF!</v>
      </c>
      <c r="M129" s="12" t="e">
        <f>VLOOKUP(表1[[#This Row],[物品描述]],[1]!表1_8[#Data],2,FALSE)</f>
        <v>#REF!</v>
      </c>
    </row>
    <row r="130" spans="1:15" ht="17.25" x14ac:dyDescent="0.35">
      <c r="A130" s="10" t="s">
        <v>358</v>
      </c>
      <c r="B130" s="11" t="s">
        <v>604</v>
      </c>
      <c r="C130" s="11" t="s">
        <v>605</v>
      </c>
      <c r="D130" s="10">
        <v>10</v>
      </c>
      <c r="E130" s="10">
        <v>-1</v>
      </c>
      <c r="F130" s="10">
        <v>100</v>
      </c>
      <c r="G130" s="10">
        <v>0</v>
      </c>
      <c r="H130" s="10">
        <v>0</v>
      </c>
      <c r="I130" s="10" t="s">
        <v>685</v>
      </c>
      <c r="J130" s="10">
        <v>0</v>
      </c>
      <c r="K130" s="10">
        <v>0</v>
      </c>
      <c r="L130" s="12" t="e">
        <f>VLOOKUP(表1[[#This Row],[物品名称]],[1]!表1_8[#Data],2,FALSE)</f>
        <v>#REF!</v>
      </c>
      <c r="M130" s="12" t="e">
        <f>VLOOKUP(表1[[#This Row],[物品描述]],[1]!表1_8[#Data],2,FALSE)</f>
        <v>#REF!</v>
      </c>
    </row>
    <row r="131" spans="1:15" ht="17.25" x14ac:dyDescent="0.35">
      <c r="A131" s="10" t="s">
        <v>359</v>
      </c>
      <c r="B131" s="11" t="s">
        <v>606</v>
      </c>
      <c r="C131" s="11" t="s">
        <v>607</v>
      </c>
      <c r="D131" s="10">
        <v>10</v>
      </c>
      <c r="E131" s="10">
        <v>-1</v>
      </c>
      <c r="F131" s="10">
        <v>100</v>
      </c>
      <c r="G131" s="10">
        <v>0</v>
      </c>
      <c r="H131" s="10">
        <v>0</v>
      </c>
      <c r="I131" s="10" t="s">
        <v>686</v>
      </c>
      <c r="J131" s="10">
        <v>0</v>
      </c>
      <c r="K131" s="10">
        <v>0</v>
      </c>
      <c r="L131" s="12" t="e">
        <f>VLOOKUP(表1[[#This Row],[物品名称]],[1]!表1_8[#Data],2,FALSE)</f>
        <v>#REF!</v>
      </c>
      <c r="M131" s="12" t="e">
        <f>VLOOKUP(表1[[#This Row],[物品描述]],[1]!表1_8[#Data],2,FALSE)</f>
        <v>#REF!</v>
      </c>
    </row>
    <row r="132" spans="1:15" ht="17.25" x14ac:dyDescent="0.35">
      <c r="A132" s="10" t="s">
        <v>217</v>
      </c>
      <c r="B132" s="11" t="s">
        <v>594</v>
      </c>
      <c r="C132" s="11" t="s">
        <v>595</v>
      </c>
      <c r="D132" s="10">
        <v>12</v>
      </c>
      <c r="E132" s="10">
        <v>-1</v>
      </c>
      <c r="F132" s="10">
        <v>0</v>
      </c>
      <c r="G132" s="16">
        <v>1</v>
      </c>
      <c r="H132" s="10">
        <v>0</v>
      </c>
      <c r="I132" s="10" t="s">
        <v>271</v>
      </c>
      <c r="J132" s="10">
        <v>0</v>
      </c>
      <c r="K132" s="10">
        <v>0</v>
      </c>
      <c r="L132" s="12" t="e">
        <f>VLOOKUP(表1[[#This Row],[物品名称]],[1]!表1_8[#Data],2,FALSE)</f>
        <v>#REF!</v>
      </c>
      <c r="M132" s="12" t="e">
        <f>VLOOKUP(表1[[#This Row],[物品描述]],[1]!表1_8[#Data],2,FALSE)</f>
        <v>#REF!</v>
      </c>
    </row>
    <row r="133" spans="1:15" ht="17.25" x14ac:dyDescent="0.35">
      <c r="A133" s="10" t="s">
        <v>218</v>
      </c>
      <c r="B133" s="11" t="s">
        <v>596</v>
      </c>
      <c r="C133" s="11" t="s">
        <v>597</v>
      </c>
      <c r="D133" s="10">
        <v>12</v>
      </c>
      <c r="E133" s="10">
        <v>-1</v>
      </c>
      <c r="F133" s="10">
        <v>0</v>
      </c>
      <c r="G133" s="16">
        <v>2</v>
      </c>
      <c r="H133" s="10">
        <v>0</v>
      </c>
      <c r="I133" s="10" t="s">
        <v>272</v>
      </c>
      <c r="J133" s="10">
        <v>0</v>
      </c>
      <c r="K133" s="10">
        <v>0</v>
      </c>
      <c r="L133" s="12" t="e">
        <f>VLOOKUP(表1[[#This Row],[物品名称]],[1]!表1_8[#Data],2,FALSE)</f>
        <v>#REF!</v>
      </c>
      <c r="M133" s="12" t="e">
        <f>VLOOKUP(表1[[#This Row],[物品描述]],[1]!表1_8[#Data],2,FALSE)</f>
        <v>#REF!</v>
      </c>
    </row>
    <row r="134" spans="1:15" ht="17.25" x14ac:dyDescent="0.35">
      <c r="A134" s="10" t="s">
        <v>219</v>
      </c>
      <c r="B134" s="11" t="s">
        <v>598</v>
      </c>
      <c r="C134" s="11" t="s">
        <v>599</v>
      </c>
      <c r="D134" s="10">
        <v>12</v>
      </c>
      <c r="E134" s="10">
        <v>-1</v>
      </c>
      <c r="F134" s="10">
        <v>0</v>
      </c>
      <c r="G134" s="16">
        <v>3</v>
      </c>
      <c r="H134" s="10">
        <v>0</v>
      </c>
      <c r="I134" s="10" t="s">
        <v>273</v>
      </c>
      <c r="J134" s="10">
        <v>0</v>
      </c>
      <c r="K134" s="10">
        <v>0</v>
      </c>
      <c r="L134" s="12" t="e">
        <f>VLOOKUP(表1[[#This Row],[物品名称]],[1]!表1_8[#Data],2,FALSE)</f>
        <v>#REF!</v>
      </c>
      <c r="M134" s="12" t="e">
        <f>VLOOKUP(表1[[#This Row],[物品描述]],[1]!表1_8[#Data],2,FALSE)</f>
        <v>#REF!</v>
      </c>
    </row>
    <row r="135" spans="1:15" ht="17.25" x14ac:dyDescent="0.35">
      <c r="A135" s="10" t="s">
        <v>220</v>
      </c>
      <c r="B135" s="11" t="s">
        <v>600</v>
      </c>
      <c r="C135" s="11" t="s">
        <v>601</v>
      </c>
      <c r="D135" s="10">
        <v>12</v>
      </c>
      <c r="E135" s="10">
        <v>-1</v>
      </c>
      <c r="F135" s="10">
        <v>0</v>
      </c>
      <c r="G135" s="16">
        <v>4</v>
      </c>
      <c r="H135" s="10">
        <v>0</v>
      </c>
      <c r="I135" s="10" t="s">
        <v>274</v>
      </c>
      <c r="J135" s="10">
        <v>0</v>
      </c>
      <c r="K135" s="10">
        <v>0</v>
      </c>
      <c r="L135" s="12" t="e">
        <f>VLOOKUP(表1[[#This Row],[物品名称]],[1]!表1_8[#Data],2,FALSE)</f>
        <v>#REF!</v>
      </c>
      <c r="M135" s="12" t="e">
        <f>VLOOKUP(表1[[#This Row],[物品描述]],[1]!表1_8[#Data],2,FALSE)</f>
        <v>#REF!</v>
      </c>
    </row>
    <row r="136" spans="1:15" ht="17.25" x14ac:dyDescent="0.35">
      <c r="A136" s="10" t="s">
        <v>221</v>
      </c>
      <c r="B136" s="11" t="s">
        <v>602</v>
      </c>
      <c r="C136" s="11" t="s">
        <v>603</v>
      </c>
      <c r="D136" s="10">
        <v>12</v>
      </c>
      <c r="E136" s="10">
        <v>-1</v>
      </c>
      <c r="F136" s="10">
        <v>0</v>
      </c>
      <c r="G136" s="16">
        <v>5</v>
      </c>
      <c r="H136" s="10">
        <v>0</v>
      </c>
      <c r="I136" s="10" t="s">
        <v>275</v>
      </c>
      <c r="J136" s="10">
        <v>0</v>
      </c>
      <c r="K136" s="10">
        <v>0</v>
      </c>
      <c r="L136" s="12" t="e">
        <f>VLOOKUP(表1[[#This Row],[物品名称]],[1]!表1_8[#Data],2,FALSE)</f>
        <v>#REF!</v>
      </c>
      <c r="M136" s="12" t="e">
        <f>VLOOKUP(表1[[#This Row],[物品描述]],[1]!表1_8[#Data],2,FALSE)</f>
        <v>#REF!</v>
      </c>
    </row>
    <row r="137" spans="1:15" ht="17.25" x14ac:dyDescent="0.35">
      <c r="A137" s="10" t="s">
        <v>222</v>
      </c>
      <c r="B137" s="11" t="s">
        <v>604</v>
      </c>
      <c r="C137" s="11" t="s">
        <v>605</v>
      </c>
      <c r="D137" s="10">
        <v>12</v>
      </c>
      <c r="E137" s="10">
        <v>-1</v>
      </c>
      <c r="F137" s="10">
        <v>0</v>
      </c>
      <c r="G137" s="16">
        <v>6</v>
      </c>
      <c r="H137" s="10">
        <v>0</v>
      </c>
      <c r="I137" s="10" t="s">
        <v>276</v>
      </c>
      <c r="J137" s="10">
        <v>0</v>
      </c>
      <c r="K137" s="10">
        <v>0</v>
      </c>
      <c r="L137" s="12" t="e">
        <f>VLOOKUP(表1[[#This Row],[物品名称]],[1]!表1_8[#Data],2,FALSE)</f>
        <v>#REF!</v>
      </c>
      <c r="M137" s="12" t="e">
        <f>VLOOKUP(表1[[#This Row],[物品描述]],[1]!表1_8[#Data],2,FALSE)</f>
        <v>#REF!</v>
      </c>
    </row>
    <row r="138" spans="1:15" ht="17.25" x14ac:dyDescent="0.35">
      <c r="A138" s="10" t="s">
        <v>223</v>
      </c>
      <c r="B138" s="11" t="s">
        <v>606</v>
      </c>
      <c r="C138" s="11" t="s">
        <v>607</v>
      </c>
      <c r="D138" s="10">
        <v>12</v>
      </c>
      <c r="E138" s="10">
        <v>-1</v>
      </c>
      <c r="F138" s="10">
        <v>0</v>
      </c>
      <c r="G138" s="16">
        <v>7</v>
      </c>
      <c r="H138" s="10">
        <v>0</v>
      </c>
      <c r="I138" s="10" t="s">
        <v>277</v>
      </c>
      <c r="J138" s="10">
        <v>0</v>
      </c>
      <c r="K138" s="10">
        <v>0</v>
      </c>
      <c r="L138" s="12" t="e">
        <f>VLOOKUP(表1[[#This Row],[物品名称]],[1]!表1_8[#Data],2,FALSE)</f>
        <v>#REF!</v>
      </c>
      <c r="M138" s="12" t="e">
        <f>VLOOKUP(表1[[#This Row],[物品描述]],[1]!表1_8[#Data],2,FALSE)</f>
        <v>#REF!</v>
      </c>
    </row>
    <row r="139" spans="1:15" ht="17.25" x14ac:dyDescent="0.35">
      <c r="A139" s="10" t="s">
        <v>224</v>
      </c>
      <c r="B139" s="11" t="s">
        <v>608</v>
      </c>
      <c r="C139" s="11" t="s">
        <v>609</v>
      </c>
      <c r="D139" s="10">
        <v>12</v>
      </c>
      <c r="E139" s="10">
        <v>-1</v>
      </c>
      <c r="F139" s="10">
        <v>0</v>
      </c>
      <c r="G139" s="16">
        <v>8</v>
      </c>
      <c r="H139" s="10">
        <v>0</v>
      </c>
      <c r="I139" s="10" t="s">
        <v>278</v>
      </c>
      <c r="J139" s="10">
        <v>0</v>
      </c>
      <c r="K139" s="10">
        <v>0</v>
      </c>
      <c r="L139" s="12" t="e">
        <f>VLOOKUP(表1[[#This Row],[物品名称]],[1]!表1_8[#Data],2,FALSE)</f>
        <v>#REF!</v>
      </c>
      <c r="M139" s="12" t="e">
        <f>VLOOKUP(表1[[#This Row],[物品描述]],[1]!表1_8[#Data],2,FALSE)</f>
        <v>#REF!</v>
      </c>
    </row>
    <row r="140" spans="1:15" ht="17.25" x14ac:dyDescent="0.35">
      <c r="A140" s="10" t="s">
        <v>225</v>
      </c>
      <c r="B140" s="11" t="s">
        <v>610</v>
      </c>
      <c r="C140" s="11" t="s">
        <v>611</v>
      </c>
      <c r="D140" s="10">
        <v>12</v>
      </c>
      <c r="E140" s="10">
        <v>-1</v>
      </c>
      <c r="F140" s="10">
        <v>0</v>
      </c>
      <c r="G140" s="16">
        <v>9</v>
      </c>
      <c r="H140" s="10">
        <v>0</v>
      </c>
      <c r="I140" s="10" t="s">
        <v>279</v>
      </c>
      <c r="J140" s="10">
        <v>0</v>
      </c>
      <c r="K140" s="10">
        <v>0</v>
      </c>
      <c r="L140" s="12" t="e">
        <f>VLOOKUP(表1[[#This Row],[物品名称]],[1]!表1_8[#Data],2,FALSE)</f>
        <v>#REF!</v>
      </c>
      <c r="M140" s="12" t="e">
        <f>VLOOKUP(表1[[#This Row],[物品描述]],[1]!表1_8[#Data],2,FALSE)</f>
        <v>#REF!</v>
      </c>
    </row>
    <row r="141" spans="1:15" ht="17.25" x14ac:dyDescent="0.35">
      <c r="A141" s="10" t="s">
        <v>226</v>
      </c>
      <c r="B141" s="11" t="s">
        <v>612</v>
      </c>
      <c r="C141" s="11" t="s">
        <v>613</v>
      </c>
      <c r="D141" s="10">
        <v>12</v>
      </c>
      <c r="E141" s="10">
        <v>-1</v>
      </c>
      <c r="F141" s="10">
        <v>0</v>
      </c>
      <c r="G141" s="16">
        <v>10</v>
      </c>
      <c r="H141" s="10">
        <v>0</v>
      </c>
      <c r="I141" s="10" t="s">
        <v>280</v>
      </c>
      <c r="J141" s="10">
        <v>0</v>
      </c>
      <c r="K141" s="10">
        <v>0</v>
      </c>
      <c r="L141" s="12" t="e">
        <f>VLOOKUP(表1[[#This Row],[物品名称]],[1]!表1_8[#Data],2,FALSE)</f>
        <v>#REF!</v>
      </c>
      <c r="M141" s="12" t="e">
        <f>VLOOKUP(表1[[#This Row],[物品描述]],[1]!表1_8[#Data],2,FALSE)</f>
        <v>#REF!</v>
      </c>
      <c r="O141"/>
    </row>
    <row r="142" spans="1:15" ht="17.25" x14ac:dyDescent="0.35">
      <c r="A142" s="10" t="s">
        <v>227</v>
      </c>
      <c r="B142" s="11" t="s">
        <v>614</v>
      </c>
      <c r="C142" s="11" t="s">
        <v>615</v>
      </c>
      <c r="D142" s="10">
        <v>12</v>
      </c>
      <c r="E142" s="10">
        <v>-1</v>
      </c>
      <c r="F142" s="10">
        <v>0</v>
      </c>
      <c r="G142" s="16">
        <v>11</v>
      </c>
      <c r="H142" s="10">
        <v>0</v>
      </c>
      <c r="I142" s="10" t="s">
        <v>281</v>
      </c>
      <c r="J142" s="10">
        <v>0</v>
      </c>
      <c r="K142" s="10">
        <v>0</v>
      </c>
      <c r="L142" s="12" t="e">
        <f>VLOOKUP(表1[[#This Row],[物品名称]],[1]!表1_8[#Data],2,FALSE)</f>
        <v>#REF!</v>
      </c>
      <c r="M142" s="12" t="e">
        <f>VLOOKUP(表1[[#This Row],[物品描述]],[1]!表1_8[#Data],2,FALSE)</f>
        <v>#REF!</v>
      </c>
    </row>
    <row r="143" spans="1:15" ht="17.25" x14ac:dyDescent="0.35">
      <c r="A143" s="10" t="s">
        <v>228</v>
      </c>
      <c r="B143" s="11" t="s">
        <v>616</v>
      </c>
      <c r="C143" s="11" t="s">
        <v>617</v>
      </c>
      <c r="D143" s="10">
        <v>12</v>
      </c>
      <c r="E143" s="10">
        <v>-1</v>
      </c>
      <c r="F143" s="10">
        <v>0</v>
      </c>
      <c r="G143" s="16">
        <v>12</v>
      </c>
      <c r="H143" s="10">
        <v>0</v>
      </c>
      <c r="I143" s="10" t="s">
        <v>282</v>
      </c>
      <c r="J143" s="10">
        <v>0</v>
      </c>
      <c r="K143" s="10">
        <v>0</v>
      </c>
      <c r="L143" s="12" t="e">
        <f>VLOOKUP(表1[[#This Row],[物品名称]],[1]!表1_8[#Data],2,FALSE)</f>
        <v>#REF!</v>
      </c>
      <c r="M143" s="12" t="e">
        <f>VLOOKUP(表1[[#This Row],[物品描述]],[1]!表1_8[#Data],2,FALSE)</f>
        <v>#REF!</v>
      </c>
    </row>
    <row r="144" spans="1:15" ht="17.25" x14ac:dyDescent="0.35">
      <c r="A144" s="10" t="s">
        <v>229</v>
      </c>
      <c r="B144" s="11" t="s">
        <v>618</v>
      </c>
      <c r="C144" s="11" t="s">
        <v>619</v>
      </c>
      <c r="D144" s="10">
        <v>12</v>
      </c>
      <c r="E144" s="10">
        <v>-1</v>
      </c>
      <c r="F144" s="10">
        <v>0</v>
      </c>
      <c r="G144" s="16">
        <v>13</v>
      </c>
      <c r="H144" s="10">
        <v>0</v>
      </c>
      <c r="I144" s="10" t="s">
        <v>283</v>
      </c>
      <c r="J144" s="10">
        <v>0</v>
      </c>
      <c r="K144" s="10">
        <v>0</v>
      </c>
      <c r="L144" s="12" t="e">
        <f>VLOOKUP(表1[[#This Row],[物品名称]],[1]!表1_8[#Data],2,FALSE)</f>
        <v>#REF!</v>
      </c>
      <c r="M144" s="12" t="e">
        <f>VLOOKUP(表1[[#This Row],[物品描述]],[1]!表1_8[#Data],2,FALSE)</f>
        <v>#REF!</v>
      </c>
    </row>
    <row r="145" spans="1:13" ht="17.25" x14ac:dyDescent="0.35">
      <c r="A145" s="10" t="s">
        <v>230</v>
      </c>
      <c r="B145" s="11" t="s">
        <v>620</v>
      </c>
      <c r="C145" s="11" t="s">
        <v>621</v>
      </c>
      <c r="D145" s="10">
        <v>12</v>
      </c>
      <c r="E145" s="10">
        <v>-1</v>
      </c>
      <c r="F145" s="10">
        <v>0</v>
      </c>
      <c r="G145" s="16">
        <v>14</v>
      </c>
      <c r="H145" s="10">
        <v>0</v>
      </c>
      <c r="I145" s="10" t="s">
        <v>287</v>
      </c>
      <c r="J145" s="10">
        <v>0</v>
      </c>
      <c r="K145" s="10">
        <v>0</v>
      </c>
      <c r="L145" s="12" t="e">
        <f>VLOOKUP(表1[[#This Row],[物品名称]],[1]!表1_8[#Data],2,FALSE)</f>
        <v>#REF!</v>
      </c>
      <c r="M145" s="12" t="e">
        <f>VLOOKUP(表1[[#This Row],[物品描述]],[1]!表1_8[#Data],2,FALSE)</f>
        <v>#REF!</v>
      </c>
    </row>
    <row r="146" spans="1:13" ht="17.25" x14ac:dyDescent="0.35">
      <c r="A146" s="10" t="s">
        <v>231</v>
      </c>
      <c r="B146" s="11" t="s">
        <v>622</v>
      </c>
      <c r="C146" s="11" t="s">
        <v>623</v>
      </c>
      <c r="D146" s="10">
        <v>12</v>
      </c>
      <c r="E146" s="10">
        <v>-1</v>
      </c>
      <c r="F146" s="10">
        <v>0</v>
      </c>
      <c r="G146" s="16">
        <v>15</v>
      </c>
      <c r="H146" s="10">
        <v>0</v>
      </c>
      <c r="I146" s="10" t="s">
        <v>284</v>
      </c>
      <c r="J146" s="10">
        <v>0</v>
      </c>
      <c r="K146" s="10">
        <v>0</v>
      </c>
      <c r="L146" s="12" t="e">
        <f>VLOOKUP(表1[[#This Row],[物品名称]],[1]!表1_8[#Data],2,FALSE)</f>
        <v>#REF!</v>
      </c>
      <c r="M146" s="12" t="e">
        <f>VLOOKUP(表1[[#This Row],[物品描述]],[1]!表1_8[#Data],2,FALSE)</f>
        <v>#REF!</v>
      </c>
    </row>
    <row r="147" spans="1:13" ht="17.25" x14ac:dyDescent="0.35">
      <c r="A147" s="10" t="s">
        <v>232</v>
      </c>
      <c r="B147" s="11" t="s">
        <v>624</v>
      </c>
      <c r="C147" s="11" t="s">
        <v>625</v>
      </c>
      <c r="D147" s="10">
        <v>13</v>
      </c>
      <c r="E147" s="10">
        <v>-1</v>
      </c>
      <c r="F147" s="10">
        <v>1000</v>
      </c>
      <c r="G147" s="10">
        <v>0</v>
      </c>
      <c r="H147" s="10">
        <v>0</v>
      </c>
      <c r="I147" s="10" t="s">
        <v>318</v>
      </c>
      <c r="J147" s="10">
        <v>0</v>
      </c>
      <c r="K147" s="10">
        <v>0</v>
      </c>
      <c r="L147" s="12" t="e">
        <f>VLOOKUP(表1[[#This Row],[物品名称]],[1]!表1_8[#Data],2,FALSE)</f>
        <v>#REF!</v>
      </c>
      <c r="M147" s="12" t="e">
        <f>VLOOKUP(表1[[#This Row],[物品描述]],[1]!表1_8[#Data],2,FALSE)</f>
        <v>#REF!</v>
      </c>
    </row>
    <row r="148" spans="1:13" ht="17.25" x14ac:dyDescent="0.35">
      <c r="A148" s="10" t="s">
        <v>233</v>
      </c>
      <c r="B148" s="11" t="s">
        <v>626</v>
      </c>
      <c r="C148" s="11" t="s">
        <v>627</v>
      </c>
      <c r="D148" s="10">
        <v>13</v>
      </c>
      <c r="E148" s="10">
        <v>-1</v>
      </c>
      <c r="F148" s="10">
        <v>1000</v>
      </c>
      <c r="G148" s="10">
        <v>0</v>
      </c>
      <c r="H148" s="10">
        <v>0</v>
      </c>
      <c r="I148" s="10" t="s">
        <v>319</v>
      </c>
      <c r="J148" s="10">
        <v>0</v>
      </c>
      <c r="K148" s="10">
        <v>0</v>
      </c>
      <c r="L148" s="12" t="e">
        <f>VLOOKUP(表1[[#This Row],[物品名称]],[1]!表1_8[#Data],2,FALSE)</f>
        <v>#REF!</v>
      </c>
      <c r="M148" s="12" t="e">
        <f>VLOOKUP(表1[[#This Row],[物品描述]],[1]!表1_8[#Data],2,FALSE)</f>
        <v>#REF!</v>
      </c>
    </row>
    <row r="149" spans="1:13" ht="17.25" x14ac:dyDescent="0.35">
      <c r="A149" s="10" t="s">
        <v>234</v>
      </c>
      <c r="B149" s="11" t="s">
        <v>628</v>
      </c>
      <c r="C149" s="11" t="s">
        <v>629</v>
      </c>
      <c r="D149" s="10">
        <v>13</v>
      </c>
      <c r="E149" s="10">
        <v>-1</v>
      </c>
      <c r="F149" s="10">
        <v>1000</v>
      </c>
      <c r="G149" s="10">
        <v>0</v>
      </c>
      <c r="H149" s="10">
        <v>0</v>
      </c>
      <c r="I149" s="10" t="s">
        <v>273</v>
      </c>
      <c r="J149" s="10">
        <v>0</v>
      </c>
      <c r="K149" s="10">
        <v>0</v>
      </c>
      <c r="L149" s="12" t="e">
        <f>VLOOKUP(表1[[#This Row],[物品名称]],[1]!表1_8[#Data],2,FALSE)</f>
        <v>#REF!</v>
      </c>
      <c r="M149" s="12" t="e">
        <f>VLOOKUP(表1[[#This Row],[物品描述]],[1]!表1_8[#Data],2,FALSE)</f>
        <v>#REF!</v>
      </c>
    </row>
    <row r="150" spans="1:13" ht="17.25" x14ac:dyDescent="0.35">
      <c r="A150" s="10" t="s">
        <v>235</v>
      </c>
      <c r="B150" s="11" t="s">
        <v>630</v>
      </c>
      <c r="C150" s="11" t="s">
        <v>631</v>
      </c>
      <c r="D150" s="10">
        <v>13</v>
      </c>
      <c r="E150" s="10">
        <v>-1</v>
      </c>
      <c r="F150" s="10">
        <v>1000</v>
      </c>
      <c r="G150" s="10">
        <v>0</v>
      </c>
      <c r="H150" s="10">
        <v>0</v>
      </c>
      <c r="I150" s="10" t="s">
        <v>320</v>
      </c>
      <c r="J150" s="10">
        <v>0</v>
      </c>
      <c r="K150" s="10">
        <v>0</v>
      </c>
      <c r="L150" s="12" t="e">
        <f>VLOOKUP(表1[[#This Row],[物品名称]],[1]!表1_8[#Data],2,FALSE)</f>
        <v>#REF!</v>
      </c>
      <c r="M150" s="12" t="e">
        <f>VLOOKUP(表1[[#This Row],[物品描述]],[1]!表1_8[#Data],2,FALSE)</f>
        <v>#REF!</v>
      </c>
    </row>
    <row r="151" spans="1:13" ht="17.25" x14ac:dyDescent="0.35">
      <c r="A151" s="10" t="s">
        <v>236</v>
      </c>
      <c r="B151" s="11" t="s">
        <v>632</v>
      </c>
      <c r="C151" s="11" t="s">
        <v>633</v>
      </c>
      <c r="D151" s="10">
        <v>13</v>
      </c>
      <c r="E151" s="10">
        <v>-1</v>
      </c>
      <c r="F151" s="10">
        <v>1000</v>
      </c>
      <c r="G151" s="10">
        <v>0</v>
      </c>
      <c r="H151" s="10">
        <v>0</v>
      </c>
      <c r="I151" s="10" t="s">
        <v>321</v>
      </c>
      <c r="J151" s="10">
        <v>0</v>
      </c>
      <c r="K151" s="10">
        <v>0</v>
      </c>
      <c r="L151" s="12" t="e">
        <f>VLOOKUP(表1[[#This Row],[物品名称]],[1]!表1_8[#Data],2,FALSE)</f>
        <v>#REF!</v>
      </c>
      <c r="M151" s="12" t="e">
        <f>VLOOKUP(表1[[#This Row],[物品描述]],[1]!表1_8[#Data],2,FALSE)</f>
        <v>#REF!</v>
      </c>
    </row>
    <row r="152" spans="1:13" ht="17.25" x14ac:dyDescent="0.35">
      <c r="A152" s="10" t="s">
        <v>237</v>
      </c>
      <c r="B152" s="11" t="s">
        <v>634</v>
      </c>
      <c r="C152" s="11" t="s">
        <v>635</v>
      </c>
      <c r="D152" s="10">
        <v>13</v>
      </c>
      <c r="E152" s="10">
        <v>-1</v>
      </c>
      <c r="F152" s="10">
        <v>1000</v>
      </c>
      <c r="G152" s="10">
        <v>0</v>
      </c>
      <c r="H152" s="10">
        <v>0</v>
      </c>
      <c r="I152" s="10" t="s">
        <v>322</v>
      </c>
      <c r="J152" s="10">
        <v>0</v>
      </c>
      <c r="K152" s="10">
        <v>0</v>
      </c>
      <c r="L152" s="12" t="e">
        <f>VLOOKUP(表1[[#This Row],[物品名称]],[1]!表1_8[#Data],2,FALSE)</f>
        <v>#REF!</v>
      </c>
      <c r="M152" s="12" t="e">
        <f>VLOOKUP(表1[[#This Row],[物品描述]],[1]!表1_8[#Data],2,FALSE)</f>
        <v>#REF!</v>
      </c>
    </row>
    <row r="153" spans="1:13" ht="17.25" x14ac:dyDescent="0.35">
      <c r="A153" s="10" t="s">
        <v>238</v>
      </c>
      <c r="B153" s="11" t="s">
        <v>636</v>
      </c>
      <c r="C153" s="11" t="s">
        <v>637</v>
      </c>
      <c r="D153" s="10">
        <v>13</v>
      </c>
      <c r="E153" s="10">
        <v>-1</v>
      </c>
      <c r="F153" s="10">
        <v>1000</v>
      </c>
      <c r="G153" s="10">
        <v>0</v>
      </c>
      <c r="H153" s="10">
        <v>0</v>
      </c>
      <c r="I153" s="10" t="s">
        <v>326</v>
      </c>
      <c r="J153" s="10">
        <v>0</v>
      </c>
      <c r="K153" s="10">
        <v>0</v>
      </c>
      <c r="L153" s="12" t="e">
        <f>VLOOKUP(表1[[#This Row],[物品名称]],[1]!表1_8[#Data],2,FALSE)</f>
        <v>#REF!</v>
      </c>
      <c r="M153" s="12" t="e">
        <f>VLOOKUP(表1[[#This Row],[物品描述]],[1]!表1_8[#Data],2,FALSE)</f>
        <v>#REF!</v>
      </c>
    </row>
    <row r="154" spans="1:13" ht="17.25" x14ac:dyDescent="0.35">
      <c r="A154" s="10" t="s">
        <v>239</v>
      </c>
      <c r="B154" s="11" t="s">
        <v>638</v>
      </c>
      <c r="C154" s="11" t="s">
        <v>639</v>
      </c>
      <c r="D154" s="10">
        <v>13</v>
      </c>
      <c r="E154" s="10">
        <v>-1</v>
      </c>
      <c r="F154" s="10">
        <v>1000</v>
      </c>
      <c r="G154" s="10">
        <v>0</v>
      </c>
      <c r="H154" s="10">
        <v>0</v>
      </c>
      <c r="I154" s="10" t="s">
        <v>324</v>
      </c>
      <c r="J154" s="10">
        <v>0</v>
      </c>
      <c r="K154" s="10">
        <v>0</v>
      </c>
      <c r="L154" s="12" t="e">
        <f>VLOOKUP(表1[[#This Row],[物品名称]],[1]!表1_8[#Data],2,FALSE)</f>
        <v>#REF!</v>
      </c>
      <c r="M154" s="12" t="e">
        <f>VLOOKUP(表1[[#This Row],[物品描述]],[1]!表1_8[#Data],2,FALSE)</f>
        <v>#REF!</v>
      </c>
    </row>
    <row r="155" spans="1:13" ht="17.25" x14ac:dyDescent="0.35">
      <c r="A155" s="10" t="s">
        <v>240</v>
      </c>
      <c r="B155" s="11" t="s">
        <v>640</v>
      </c>
      <c r="C155" s="11" t="s">
        <v>641</v>
      </c>
      <c r="D155" s="10">
        <v>13</v>
      </c>
      <c r="E155" s="10">
        <v>-1</v>
      </c>
      <c r="F155" s="10">
        <v>1000</v>
      </c>
      <c r="G155" s="10">
        <v>0</v>
      </c>
      <c r="H155" s="10">
        <v>0</v>
      </c>
      <c r="I155" s="10" t="s">
        <v>325</v>
      </c>
      <c r="J155" s="10">
        <v>0</v>
      </c>
      <c r="K155" s="10">
        <v>0</v>
      </c>
      <c r="L155" s="12" t="e">
        <f>VLOOKUP(表1[[#This Row],[物品名称]],[1]!表1_8[#Data],2,FALSE)</f>
        <v>#REF!</v>
      </c>
      <c r="M155" s="12" t="e">
        <f>VLOOKUP(表1[[#This Row],[物品描述]],[1]!表1_8[#Data],2,FALSE)</f>
        <v>#REF!</v>
      </c>
    </row>
    <row r="156" spans="1:13" ht="17.25" x14ac:dyDescent="0.35">
      <c r="A156" s="10" t="s">
        <v>241</v>
      </c>
      <c r="B156" s="11" t="s">
        <v>642</v>
      </c>
      <c r="C156" s="11" t="s">
        <v>643</v>
      </c>
      <c r="D156" s="10">
        <v>13</v>
      </c>
      <c r="E156" s="10">
        <v>-1</v>
      </c>
      <c r="F156" s="10">
        <v>1000</v>
      </c>
      <c r="G156" s="10">
        <v>0</v>
      </c>
      <c r="H156" s="10">
        <v>0</v>
      </c>
      <c r="I156" s="10" t="s">
        <v>323</v>
      </c>
      <c r="J156" s="10">
        <v>0</v>
      </c>
      <c r="K156" s="10">
        <v>0</v>
      </c>
      <c r="L156" s="12" t="e">
        <f>VLOOKUP(表1[[#This Row],[物品名称]],[1]!表1_8[#Data],2,FALSE)</f>
        <v>#REF!</v>
      </c>
      <c r="M156" s="12" t="e">
        <f>VLOOKUP(表1[[#This Row],[物品描述]],[1]!表1_8[#Data],2,FALSE)</f>
        <v>#REF!</v>
      </c>
    </row>
    <row r="157" spans="1:13" ht="17.25" x14ac:dyDescent="0.35">
      <c r="A157" s="10" t="s">
        <v>242</v>
      </c>
      <c r="B157" s="11" t="s">
        <v>644</v>
      </c>
      <c r="C157" s="11" t="s">
        <v>645</v>
      </c>
      <c r="D157" s="10">
        <v>13</v>
      </c>
      <c r="E157" s="10">
        <v>-1</v>
      </c>
      <c r="F157" s="10">
        <v>1000</v>
      </c>
      <c r="G157" s="10">
        <v>0</v>
      </c>
      <c r="H157" s="10">
        <v>0</v>
      </c>
      <c r="I157" s="10" t="s">
        <v>327</v>
      </c>
      <c r="J157" s="10">
        <v>0</v>
      </c>
      <c r="K157" s="10">
        <v>0</v>
      </c>
      <c r="L157" s="12" t="e">
        <f>VLOOKUP(表1[[#This Row],[物品名称]],[1]!表1_8[#Data],2,FALSE)</f>
        <v>#REF!</v>
      </c>
      <c r="M157" s="12" t="e">
        <f>VLOOKUP(表1[[#This Row],[物品描述]],[1]!表1_8[#Data],2,FALSE)</f>
        <v>#REF!</v>
      </c>
    </row>
    <row r="158" spans="1:13" ht="17.25" x14ac:dyDescent="0.35">
      <c r="A158" s="10" t="s">
        <v>243</v>
      </c>
      <c r="B158" s="11" t="s">
        <v>646</v>
      </c>
      <c r="C158" s="11" t="s">
        <v>647</v>
      </c>
      <c r="D158" s="10">
        <v>13</v>
      </c>
      <c r="E158" s="10">
        <v>-1</v>
      </c>
      <c r="F158" s="10">
        <v>1000</v>
      </c>
      <c r="G158" s="10">
        <v>0</v>
      </c>
      <c r="H158" s="10">
        <v>0</v>
      </c>
      <c r="I158" s="10" t="s">
        <v>328</v>
      </c>
      <c r="J158" s="10">
        <v>0</v>
      </c>
      <c r="K158" s="10">
        <v>0</v>
      </c>
      <c r="L158" s="12" t="e">
        <f>VLOOKUP(表1[[#This Row],[物品名称]],[1]!表1_8[#Data],2,FALSE)</f>
        <v>#REF!</v>
      </c>
      <c r="M158" s="12" t="e">
        <f>VLOOKUP(表1[[#This Row],[物品描述]],[1]!表1_8[#Data],2,FALSE)</f>
        <v>#REF!</v>
      </c>
    </row>
    <row r="159" spans="1:13" ht="17.25" x14ac:dyDescent="0.35">
      <c r="A159" s="10" t="s">
        <v>244</v>
      </c>
      <c r="B159" s="11" t="s">
        <v>648</v>
      </c>
      <c r="C159" s="11" t="s">
        <v>649</v>
      </c>
      <c r="D159" s="10">
        <v>13</v>
      </c>
      <c r="E159" s="10">
        <v>-1</v>
      </c>
      <c r="F159" s="10">
        <v>1000</v>
      </c>
      <c r="G159" s="10">
        <v>0</v>
      </c>
      <c r="H159" s="10">
        <v>0</v>
      </c>
      <c r="I159" s="10" t="s">
        <v>329</v>
      </c>
      <c r="J159" s="10">
        <v>0</v>
      </c>
      <c r="K159" s="10">
        <v>0</v>
      </c>
      <c r="L159" s="12" t="e">
        <f>VLOOKUP(表1[[#This Row],[物品名称]],[1]!表1_8[#Data],2,FALSE)</f>
        <v>#REF!</v>
      </c>
      <c r="M159" s="12" t="e">
        <f>VLOOKUP(表1[[#This Row],[物品描述]],[1]!表1_8[#Data],2,FALSE)</f>
        <v>#REF!</v>
      </c>
    </row>
    <row r="160" spans="1:13" ht="17.25" x14ac:dyDescent="0.35">
      <c r="A160" s="10" t="s">
        <v>245</v>
      </c>
      <c r="B160" s="11" t="s">
        <v>650</v>
      </c>
      <c r="C160" s="11" t="s">
        <v>651</v>
      </c>
      <c r="D160" s="10">
        <v>13</v>
      </c>
      <c r="E160" s="10">
        <v>-1</v>
      </c>
      <c r="F160" s="10">
        <v>1000</v>
      </c>
      <c r="G160" s="10">
        <v>0</v>
      </c>
      <c r="H160" s="10">
        <v>0</v>
      </c>
      <c r="I160" s="10" t="s">
        <v>330</v>
      </c>
      <c r="J160" s="10">
        <v>0</v>
      </c>
      <c r="K160" s="10">
        <v>0</v>
      </c>
      <c r="L160" s="12" t="e">
        <f>VLOOKUP(表1[[#This Row],[物品名称]],[1]!表1_8[#Data],2,FALSE)</f>
        <v>#REF!</v>
      </c>
      <c r="M160" s="12" t="e">
        <f>VLOOKUP(表1[[#This Row],[物品描述]],[1]!表1_8[#Data],2,FALSE)</f>
        <v>#REF!</v>
      </c>
    </row>
    <row r="161" spans="1:13" ht="17.25" x14ac:dyDescent="0.35">
      <c r="A161" s="10" t="s">
        <v>246</v>
      </c>
      <c r="B161" s="11" t="s">
        <v>652</v>
      </c>
      <c r="C161" s="11" t="s">
        <v>653</v>
      </c>
      <c r="D161" s="10">
        <v>13</v>
      </c>
      <c r="E161" s="10">
        <v>-1</v>
      </c>
      <c r="F161" s="10">
        <v>1000</v>
      </c>
      <c r="G161" s="10">
        <v>0</v>
      </c>
      <c r="H161" s="10">
        <v>0</v>
      </c>
      <c r="I161" s="10" t="s">
        <v>331</v>
      </c>
      <c r="J161" s="10">
        <v>0</v>
      </c>
      <c r="K161" s="10">
        <v>0</v>
      </c>
      <c r="L161" s="12" t="e">
        <f>VLOOKUP(表1[[#This Row],[物品名称]],[1]!表1_8[#Data],2,FALSE)</f>
        <v>#REF!</v>
      </c>
      <c r="M161" s="12" t="e">
        <f>VLOOKUP(表1[[#This Row],[物品描述]],[1]!表1_8[#Data],2,FALSE)</f>
        <v>#REF!</v>
      </c>
    </row>
    <row r="162" spans="1:13" ht="17.25" x14ac:dyDescent="0.35">
      <c r="A162" s="10" t="s">
        <v>303</v>
      </c>
      <c r="B162" s="11" t="s">
        <v>654</v>
      </c>
      <c r="C162" s="11" t="s">
        <v>655</v>
      </c>
      <c r="D162" s="10">
        <v>14</v>
      </c>
      <c r="E162" s="10">
        <v>-1</v>
      </c>
      <c r="F162" s="10">
        <v>0</v>
      </c>
      <c r="G162" s="16">
        <v>1</v>
      </c>
      <c r="H162" s="10">
        <v>0</v>
      </c>
      <c r="I162" s="10" t="s">
        <v>333</v>
      </c>
      <c r="J162" s="10">
        <v>0</v>
      </c>
      <c r="K162" s="10">
        <v>0</v>
      </c>
      <c r="L162" s="12" t="e">
        <f>VLOOKUP(表1[[#This Row],[物品名称]],[1]!表1_8[#Data],2,FALSE)</f>
        <v>#REF!</v>
      </c>
      <c r="M162" s="12" t="e">
        <f>VLOOKUP(表1[[#This Row],[物品描述]],[1]!表1_8[#Data],2,FALSE)</f>
        <v>#REF!</v>
      </c>
    </row>
    <row r="163" spans="1:13" ht="17.25" x14ac:dyDescent="0.35">
      <c r="A163" s="10" t="s">
        <v>304</v>
      </c>
      <c r="B163" s="11" t="s">
        <v>656</v>
      </c>
      <c r="C163" s="11" t="s">
        <v>657</v>
      </c>
      <c r="D163" s="10">
        <v>14</v>
      </c>
      <c r="E163" s="10">
        <v>-1</v>
      </c>
      <c r="F163" s="10">
        <v>0</v>
      </c>
      <c r="G163" s="16">
        <v>2</v>
      </c>
      <c r="H163" s="10">
        <v>0</v>
      </c>
      <c r="I163" s="10" t="s">
        <v>334</v>
      </c>
      <c r="J163" s="10">
        <v>0</v>
      </c>
      <c r="K163" s="10">
        <v>0</v>
      </c>
      <c r="L163" s="12" t="e">
        <f>VLOOKUP(表1[[#This Row],[物品名称]],[1]!表1_8[#Data],2,FALSE)</f>
        <v>#REF!</v>
      </c>
      <c r="M163" s="12" t="e">
        <f>VLOOKUP(表1[[#This Row],[物品描述]],[1]!表1_8[#Data],2,FALSE)</f>
        <v>#REF!</v>
      </c>
    </row>
    <row r="164" spans="1:13" ht="17.25" x14ac:dyDescent="0.35">
      <c r="A164" s="10" t="s">
        <v>305</v>
      </c>
      <c r="B164" s="11" t="s">
        <v>658</v>
      </c>
      <c r="C164" s="11" t="s">
        <v>659</v>
      </c>
      <c r="D164" s="10">
        <v>14</v>
      </c>
      <c r="E164" s="10">
        <v>-1</v>
      </c>
      <c r="F164" s="10">
        <v>0</v>
      </c>
      <c r="G164" s="16">
        <v>3</v>
      </c>
      <c r="H164" s="10">
        <v>0</v>
      </c>
      <c r="I164" s="10" t="s">
        <v>335</v>
      </c>
      <c r="J164" s="10">
        <v>0</v>
      </c>
      <c r="K164" s="10">
        <v>0</v>
      </c>
      <c r="L164" s="12" t="e">
        <f>VLOOKUP(表1[[#This Row],[物品名称]],[1]!表1_8[#Data],2,FALSE)</f>
        <v>#REF!</v>
      </c>
      <c r="M164" s="12" t="e">
        <f>VLOOKUP(表1[[#This Row],[物品描述]],[1]!表1_8[#Data],2,FALSE)</f>
        <v>#REF!</v>
      </c>
    </row>
    <row r="165" spans="1:13" ht="17.25" x14ac:dyDescent="0.35">
      <c r="A165" s="10" t="s">
        <v>306</v>
      </c>
      <c r="B165" s="11" t="s">
        <v>660</v>
      </c>
      <c r="C165" s="11" t="s">
        <v>661</v>
      </c>
      <c r="D165" s="10">
        <v>14</v>
      </c>
      <c r="E165" s="10">
        <v>-1</v>
      </c>
      <c r="F165" s="10">
        <v>0</v>
      </c>
      <c r="G165" s="16">
        <v>4</v>
      </c>
      <c r="H165" s="10">
        <v>0</v>
      </c>
      <c r="I165" s="10" t="s">
        <v>336</v>
      </c>
      <c r="J165" s="10">
        <v>0</v>
      </c>
      <c r="K165" s="10">
        <v>0</v>
      </c>
      <c r="L165" s="12" t="e">
        <f>VLOOKUP(表1[[#This Row],[物品名称]],[1]!表1_8[#Data],2,FALSE)</f>
        <v>#REF!</v>
      </c>
      <c r="M165" s="12" t="e">
        <f>VLOOKUP(表1[[#This Row],[物品描述]],[1]!表1_8[#Data],2,FALSE)</f>
        <v>#REF!</v>
      </c>
    </row>
    <row r="166" spans="1:13" ht="17.25" x14ac:dyDescent="0.35">
      <c r="A166" s="10" t="s">
        <v>307</v>
      </c>
      <c r="B166" s="11" t="s">
        <v>662</v>
      </c>
      <c r="C166" s="11" t="s">
        <v>663</v>
      </c>
      <c r="D166" s="10">
        <v>14</v>
      </c>
      <c r="E166" s="10">
        <v>-1</v>
      </c>
      <c r="F166" s="10">
        <v>0</v>
      </c>
      <c r="G166" s="16">
        <v>5</v>
      </c>
      <c r="H166" s="10">
        <v>0</v>
      </c>
      <c r="I166" s="10" t="s">
        <v>337</v>
      </c>
      <c r="J166" s="10">
        <v>0</v>
      </c>
      <c r="K166" s="10">
        <v>0</v>
      </c>
      <c r="L166" s="12" t="e">
        <f>VLOOKUP(表1[[#This Row],[物品名称]],[1]!表1_8[#Data],2,FALSE)</f>
        <v>#REF!</v>
      </c>
      <c r="M166" s="12" t="e">
        <f>VLOOKUP(表1[[#This Row],[物品描述]],[1]!表1_8[#Data],2,FALSE)</f>
        <v>#REF!</v>
      </c>
    </row>
    <row r="167" spans="1:13" ht="17.25" x14ac:dyDescent="0.35">
      <c r="A167" s="10" t="s">
        <v>308</v>
      </c>
      <c r="B167" s="11" t="s">
        <v>664</v>
      </c>
      <c r="C167" s="11" t="s">
        <v>665</v>
      </c>
      <c r="D167" s="10">
        <v>14</v>
      </c>
      <c r="E167" s="10">
        <v>-1</v>
      </c>
      <c r="F167" s="10">
        <v>0</v>
      </c>
      <c r="G167" s="16">
        <v>6</v>
      </c>
      <c r="H167" s="10">
        <v>0</v>
      </c>
      <c r="I167" s="10" t="s">
        <v>338</v>
      </c>
      <c r="J167" s="10">
        <v>0</v>
      </c>
      <c r="K167" s="10">
        <v>0</v>
      </c>
      <c r="L167" s="12" t="e">
        <f>VLOOKUP(表1[[#This Row],[物品名称]],[1]!表1_8[#Data],2,FALSE)</f>
        <v>#REF!</v>
      </c>
      <c r="M167" s="12" t="e">
        <f>VLOOKUP(表1[[#This Row],[物品描述]],[1]!表1_8[#Data],2,FALSE)</f>
        <v>#REF!</v>
      </c>
    </row>
    <row r="168" spans="1:13" ht="17.25" x14ac:dyDescent="0.35">
      <c r="A168" s="10" t="s">
        <v>309</v>
      </c>
      <c r="B168" s="11" t="s">
        <v>666</v>
      </c>
      <c r="C168" s="11" t="s">
        <v>667</v>
      </c>
      <c r="D168" s="10">
        <v>14</v>
      </c>
      <c r="E168" s="10">
        <v>-1</v>
      </c>
      <c r="F168" s="10">
        <v>0</v>
      </c>
      <c r="G168" s="16">
        <v>7</v>
      </c>
      <c r="H168" s="10">
        <v>0</v>
      </c>
      <c r="I168" s="10" t="s">
        <v>339</v>
      </c>
      <c r="J168" s="10">
        <v>0</v>
      </c>
      <c r="K168" s="10">
        <v>0</v>
      </c>
      <c r="L168" s="12" t="e">
        <f>VLOOKUP(表1[[#This Row],[物品名称]],[1]!表1_8[#Data],2,FALSE)</f>
        <v>#REF!</v>
      </c>
      <c r="M168" s="12" t="e">
        <f>VLOOKUP(表1[[#This Row],[物品描述]],[1]!表1_8[#Data],2,FALSE)</f>
        <v>#REF!</v>
      </c>
    </row>
    <row r="169" spans="1:13" ht="17.25" x14ac:dyDescent="0.35">
      <c r="A169" s="10" t="s">
        <v>310</v>
      </c>
      <c r="B169" s="11" t="s">
        <v>668</v>
      </c>
      <c r="C169" s="11" t="s">
        <v>669</v>
      </c>
      <c r="D169" s="10">
        <v>14</v>
      </c>
      <c r="E169" s="10">
        <v>-1</v>
      </c>
      <c r="F169" s="10">
        <v>0</v>
      </c>
      <c r="G169" s="16">
        <v>8</v>
      </c>
      <c r="H169" s="10">
        <v>0</v>
      </c>
      <c r="I169" s="10" t="s">
        <v>340</v>
      </c>
      <c r="J169" s="10">
        <v>0</v>
      </c>
      <c r="K169" s="10">
        <v>0</v>
      </c>
      <c r="L169" s="12" t="e">
        <f>VLOOKUP(表1[[#This Row],[物品名称]],[1]!表1_8[#Data],2,FALSE)</f>
        <v>#REF!</v>
      </c>
      <c r="M169" s="12" t="e">
        <f>VLOOKUP(表1[[#This Row],[物品描述]],[1]!表1_8[#Data],2,FALSE)</f>
        <v>#REF!</v>
      </c>
    </row>
    <row r="170" spans="1:13" ht="17.25" x14ac:dyDescent="0.35">
      <c r="A170" s="10" t="s">
        <v>311</v>
      </c>
      <c r="B170" s="11" t="s">
        <v>670</v>
      </c>
      <c r="C170" s="11" t="s">
        <v>671</v>
      </c>
      <c r="D170" s="10">
        <v>14</v>
      </c>
      <c r="E170" s="10">
        <v>-1</v>
      </c>
      <c r="F170" s="10">
        <v>0</v>
      </c>
      <c r="G170" s="16">
        <v>9</v>
      </c>
      <c r="H170" s="10">
        <v>0</v>
      </c>
      <c r="I170" s="10" t="s">
        <v>341</v>
      </c>
      <c r="J170" s="10">
        <v>0</v>
      </c>
      <c r="K170" s="10">
        <v>0</v>
      </c>
      <c r="L170" s="12" t="e">
        <f>VLOOKUP(表1[[#This Row],[物品名称]],[1]!表1_8[#Data],2,FALSE)</f>
        <v>#REF!</v>
      </c>
      <c r="M170" s="12" t="e">
        <f>VLOOKUP(表1[[#This Row],[物品描述]],[1]!表1_8[#Data],2,FALSE)</f>
        <v>#REF!</v>
      </c>
    </row>
    <row r="171" spans="1:13" ht="17.25" x14ac:dyDescent="0.35">
      <c r="A171" s="10" t="s">
        <v>312</v>
      </c>
      <c r="B171" s="11" t="s">
        <v>672</v>
      </c>
      <c r="C171" s="11" t="s">
        <v>673</v>
      </c>
      <c r="D171" s="10">
        <v>14</v>
      </c>
      <c r="E171" s="10">
        <v>-1</v>
      </c>
      <c r="F171" s="10">
        <v>0</v>
      </c>
      <c r="G171" s="16">
        <v>10</v>
      </c>
      <c r="H171" s="10">
        <v>0</v>
      </c>
      <c r="I171" s="10" t="s">
        <v>342</v>
      </c>
      <c r="J171" s="10">
        <v>0</v>
      </c>
      <c r="K171" s="10">
        <v>0</v>
      </c>
      <c r="L171" s="12" t="e">
        <f>VLOOKUP(表1[[#This Row],[物品名称]],[1]!表1_8[#Data],2,FALSE)</f>
        <v>#REF!</v>
      </c>
      <c r="M171" s="12" t="e">
        <f>VLOOKUP(表1[[#This Row],[物品描述]],[1]!表1_8[#Data],2,FALSE)</f>
        <v>#REF!</v>
      </c>
    </row>
    <row r="172" spans="1:13" ht="17.25" x14ac:dyDescent="0.35">
      <c r="A172" s="10" t="s">
        <v>313</v>
      </c>
      <c r="B172" s="11" t="s">
        <v>674</v>
      </c>
      <c r="C172" s="11" t="s">
        <v>675</v>
      </c>
      <c r="D172" s="10">
        <v>14</v>
      </c>
      <c r="E172" s="10">
        <v>-1</v>
      </c>
      <c r="F172" s="10">
        <v>0</v>
      </c>
      <c r="G172" s="16">
        <v>11</v>
      </c>
      <c r="H172" s="10">
        <v>0</v>
      </c>
      <c r="I172" s="10" t="s">
        <v>343</v>
      </c>
      <c r="J172" s="10">
        <v>0</v>
      </c>
      <c r="K172" s="10">
        <v>0</v>
      </c>
      <c r="L172" s="12" t="e">
        <f>VLOOKUP(表1[[#This Row],[物品名称]],[1]!表1_8[#Data],2,FALSE)</f>
        <v>#REF!</v>
      </c>
      <c r="M172" s="12" t="e">
        <f>VLOOKUP(表1[[#This Row],[物品描述]],[1]!表1_8[#Data],2,FALSE)</f>
        <v>#REF!</v>
      </c>
    </row>
    <row r="173" spans="1:13" ht="17.25" x14ac:dyDescent="0.35">
      <c r="A173" s="10" t="s">
        <v>314</v>
      </c>
      <c r="B173" s="11" t="s">
        <v>676</v>
      </c>
      <c r="C173" s="11" t="s">
        <v>677</v>
      </c>
      <c r="D173" s="10">
        <v>14</v>
      </c>
      <c r="E173" s="10">
        <v>-1</v>
      </c>
      <c r="F173" s="10">
        <v>0</v>
      </c>
      <c r="G173" s="16">
        <v>12</v>
      </c>
      <c r="H173" s="10">
        <v>0</v>
      </c>
      <c r="I173" s="10" t="s">
        <v>344</v>
      </c>
      <c r="J173" s="10">
        <v>0</v>
      </c>
      <c r="K173" s="10">
        <v>0</v>
      </c>
      <c r="L173" s="12" t="e">
        <f>VLOOKUP(表1[[#This Row],[物品名称]],[1]!表1_8[#Data],2,FALSE)</f>
        <v>#REF!</v>
      </c>
      <c r="M173" s="12" t="e">
        <f>VLOOKUP(表1[[#This Row],[物品描述]],[1]!表1_8[#Data],2,FALSE)</f>
        <v>#REF!</v>
      </c>
    </row>
    <row r="174" spans="1:13" ht="17.25" x14ac:dyDescent="0.35">
      <c r="A174" s="10" t="s">
        <v>315</v>
      </c>
      <c r="B174" s="11" t="s">
        <v>678</v>
      </c>
      <c r="C174" s="11" t="s">
        <v>679</v>
      </c>
      <c r="D174" s="10">
        <v>14</v>
      </c>
      <c r="E174" s="10">
        <v>-1</v>
      </c>
      <c r="F174" s="10">
        <v>0</v>
      </c>
      <c r="G174" s="16">
        <v>13</v>
      </c>
      <c r="H174" s="10">
        <v>0</v>
      </c>
      <c r="I174" s="10" t="s">
        <v>345</v>
      </c>
      <c r="J174" s="10">
        <v>0</v>
      </c>
      <c r="K174" s="10">
        <v>0</v>
      </c>
      <c r="L174" s="12" t="e">
        <f>VLOOKUP(表1[[#This Row],[物品名称]],[1]!表1_8[#Data],2,FALSE)</f>
        <v>#REF!</v>
      </c>
      <c r="M174" s="12" t="e">
        <f>VLOOKUP(表1[[#This Row],[物品描述]],[1]!表1_8[#Data],2,FALSE)</f>
        <v>#REF!</v>
      </c>
    </row>
    <row r="175" spans="1:13" ht="17.25" x14ac:dyDescent="0.35">
      <c r="A175" s="10" t="s">
        <v>316</v>
      </c>
      <c r="B175" s="11" t="s">
        <v>680</v>
      </c>
      <c r="C175" s="11" t="s">
        <v>681</v>
      </c>
      <c r="D175" s="10">
        <v>14</v>
      </c>
      <c r="E175" s="10">
        <v>-1</v>
      </c>
      <c r="F175" s="10">
        <v>0</v>
      </c>
      <c r="G175" s="16">
        <v>14</v>
      </c>
      <c r="H175" s="10">
        <v>0</v>
      </c>
      <c r="I175" s="10" t="s">
        <v>346</v>
      </c>
      <c r="J175" s="10">
        <v>0</v>
      </c>
      <c r="K175" s="10">
        <v>0</v>
      </c>
      <c r="L175" s="12" t="e">
        <f>VLOOKUP(表1[[#This Row],[物品名称]],[1]!表1_8[#Data],2,FALSE)</f>
        <v>#REF!</v>
      </c>
      <c r="M175" s="12" t="e">
        <f>VLOOKUP(表1[[#This Row],[物品描述]],[1]!表1_8[#Data],2,FALSE)</f>
        <v>#REF!</v>
      </c>
    </row>
    <row r="176" spans="1:13" ht="17.25" x14ac:dyDescent="0.35">
      <c r="A176" s="10" t="s">
        <v>317</v>
      </c>
      <c r="B176" s="11" t="s">
        <v>682</v>
      </c>
      <c r="C176" s="11" t="s">
        <v>683</v>
      </c>
      <c r="D176" s="10">
        <v>14</v>
      </c>
      <c r="E176" s="10">
        <v>-1</v>
      </c>
      <c r="F176" s="10">
        <v>0</v>
      </c>
      <c r="G176" s="16">
        <v>15</v>
      </c>
      <c r="H176" s="10">
        <v>0</v>
      </c>
      <c r="I176" s="10" t="s">
        <v>347</v>
      </c>
      <c r="J176" s="10">
        <v>0</v>
      </c>
      <c r="K176" s="10">
        <v>0</v>
      </c>
      <c r="L176" s="12" t="e">
        <f>VLOOKUP(表1[[#This Row],[物品名称]],[1]!表1_8[#Data],2,FALSE)</f>
        <v>#REF!</v>
      </c>
      <c r="M176" s="12" t="e">
        <f>VLOOKUP(表1[[#This Row],[物品描述]],[1]!表1_8[#Data],2,FALSE)</f>
        <v>#REF!</v>
      </c>
    </row>
  </sheetData>
  <phoneticPr fontId="4" type="noConversion"/>
  <dataValidations count="5">
    <dataValidation allowBlank="1" showInputMessage="1" showErrorMessage="1" prompt="1.金币_x000a_2.钻石_x000a_3.技能---需要放在背包内_x000a_4.碎片---需要放在背包内_x000a_5.代币_x000a_6.小游戏_x000a_7.礼包类--需要放在背包内_x000a_" sqref="D4" xr:uid="{00000000-0002-0000-0200-000000000000}"/>
    <dataValidation allowBlank="1" showInputMessage="1" showErrorMessage="1" promptTitle="使用物品时需要的最低等级" prompt="使用礼包类(7)道具时_x000a_需要进行等级判断" sqref="H4" xr:uid="{00000000-0002-0000-0200-000001000000}"/>
    <dataValidation allowBlank="1" showInputMessage="1" showErrorMessage="1" promptTitle="————————————————" prompt="0 无有效期_x000a_1   按时长，单位秒_x000a_2   按天数，都以每天的0点为临界点" sqref="J4" xr:uid="{614B8C26-C997-4133-B6FC-470B4A32ECF3}"/>
    <dataValidation allowBlank="1" showInputMessage="1" showErrorMessage="1" promptTitle="————————————————————————————————" prompt="如果有效期类型为1，则填写秒数_x000a_如果有效期类型为2，则填写天数（表示到第几天的23:59:59失效）_x000a_如果有效期类型为0，此字段无效" sqref="K4" xr:uid="{0D088FBE-FC78-4CBF-84E3-027E91667865}"/>
    <dataValidation allowBlank="1" showInputMessage="1" showErrorMessage="1" promptTitle="版本&quot;,&quot;分割————————————" prompt="如果是所有版本，则填ALL" sqref="B1" xr:uid="{0C3EEC0B-14E7-4627-9C87-CE5FBCFFF854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2018-05-15T02:55:29Z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