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D9ED8F9-4D97-4C7B-95EC-92FA90B54BAD}" xr6:coauthVersionLast="32" xr6:coauthVersionMax="32" xr10:uidLastSave="{00000000-0000-0000-0000-000000000000}"/>
  <bookViews>
    <workbookView xWindow="0" yWindow="0" windowWidth="28695" windowHeight="13050" xr2:uid="{00000000-000D-0000-FFFF-FFFF00000000}"/>
  </bookViews>
  <sheets>
    <sheet name="description" sheetId="4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D251" i="6" l="1"/>
  <c r="E251" i="6" s="1"/>
  <c r="D113" i="6"/>
  <c r="E113" i="6" s="1"/>
  <c r="D471" i="6"/>
  <c r="E471" i="6" s="1"/>
  <c r="D250" i="6"/>
  <c r="E250" i="6" s="1"/>
  <c r="D245" i="6"/>
  <c r="E245" i="6" s="1"/>
  <c r="D31" i="6"/>
  <c r="E31" i="6" s="1"/>
  <c r="D185" i="6"/>
  <c r="E185" i="6" s="1"/>
  <c r="D246" i="6"/>
  <c r="E246" i="6" s="1"/>
  <c r="D93" i="6"/>
  <c r="E93" i="6" s="1"/>
  <c r="D296" i="6"/>
  <c r="E296" i="6" s="1"/>
  <c r="D436" i="6"/>
  <c r="E436" i="6" s="1"/>
  <c r="D433" i="6"/>
  <c r="E433" i="6" s="1"/>
  <c r="D214" i="6"/>
  <c r="E214" i="6" s="1"/>
  <c r="D479" i="6"/>
  <c r="E479" i="6" s="1"/>
  <c r="D218" i="6"/>
  <c r="E218" i="6" s="1"/>
  <c r="D153" i="6"/>
  <c r="E153" i="6" s="1"/>
  <c r="D7" i="6"/>
  <c r="E7" i="6" s="1"/>
  <c r="D6" i="6"/>
  <c r="E6" i="6" s="1"/>
  <c r="D51" i="6"/>
  <c r="E51" i="6" s="1"/>
  <c r="D262" i="6"/>
  <c r="E262" i="6" s="1"/>
  <c r="D254" i="6"/>
  <c r="E254" i="6" s="1"/>
  <c r="D248" i="6"/>
  <c r="E248" i="6" s="1"/>
  <c r="D75" i="6"/>
  <c r="E75" i="6" s="1"/>
  <c r="D149" i="6"/>
  <c r="E149" i="6" s="1"/>
  <c r="D463" i="6"/>
  <c r="E463" i="6" s="1"/>
  <c r="D469" i="6"/>
  <c r="E469" i="6" s="1"/>
  <c r="D210" i="6"/>
  <c r="E210" i="6" s="1"/>
  <c r="D39" i="6"/>
  <c r="E39" i="6" s="1"/>
  <c r="D177" i="6"/>
  <c r="E177" i="6" s="1"/>
  <c r="D484" i="6"/>
  <c r="E484" i="6" s="1"/>
  <c r="D227" i="6"/>
  <c r="E227" i="6" s="1"/>
  <c r="D267" i="6"/>
  <c r="E267" i="6" s="1"/>
  <c r="D337" i="6"/>
  <c r="E337" i="6" s="1"/>
  <c r="D50" i="6"/>
  <c r="E50" i="6" s="1"/>
  <c r="D457" i="6"/>
  <c r="E457" i="6" s="1"/>
  <c r="D137" i="6"/>
  <c r="E137" i="6" s="1"/>
  <c r="D480" i="6"/>
  <c r="E480" i="6" s="1"/>
  <c r="D467" i="6"/>
  <c r="E467" i="6" s="1"/>
  <c r="D445" i="6"/>
  <c r="E445" i="6" s="1"/>
  <c r="D266" i="6"/>
  <c r="E266" i="6" s="1"/>
  <c r="D461" i="6"/>
  <c r="E461" i="6" s="1"/>
  <c r="D239" i="6"/>
  <c r="E239" i="6" s="1"/>
  <c r="D444" i="6"/>
  <c r="E444" i="6" s="1"/>
  <c r="D234" i="6"/>
  <c r="E234" i="6" s="1"/>
  <c r="D252" i="6"/>
  <c r="E252" i="6" s="1"/>
  <c r="D197" i="6"/>
  <c r="E197" i="6" s="1"/>
  <c r="D441" i="6"/>
  <c r="E441" i="6" s="1"/>
  <c r="D47" i="6"/>
  <c r="E47" i="6" s="1"/>
  <c r="D478" i="6"/>
  <c r="E478" i="6" s="1"/>
  <c r="D449" i="6"/>
  <c r="E449" i="6" s="1"/>
  <c r="D101" i="6"/>
  <c r="E101" i="6" s="1"/>
  <c r="D292" i="6"/>
  <c r="E292" i="6" s="1"/>
  <c r="D11" i="6"/>
  <c r="E11" i="6" s="1"/>
  <c r="D173" i="6"/>
  <c r="E173" i="6" s="1"/>
  <c r="D133" i="6"/>
  <c r="E133" i="6" s="1"/>
  <c r="D316" i="6"/>
  <c r="E316" i="6" s="1"/>
  <c r="D67" i="6"/>
  <c r="E67" i="6" s="1"/>
  <c r="D304" i="6"/>
  <c r="E304" i="6" s="1"/>
  <c r="D22" i="6"/>
  <c r="E22" i="6" s="1"/>
  <c r="D150" i="6"/>
  <c r="E150" i="6" s="1"/>
  <c r="D194" i="6"/>
  <c r="E194" i="6" s="1"/>
  <c r="D18" i="6"/>
  <c r="E18" i="6" s="1"/>
  <c r="D32" i="6"/>
  <c r="E32" i="6" s="1"/>
  <c r="D460" i="6"/>
  <c r="E460" i="6" s="1"/>
  <c r="D198" i="6"/>
  <c r="E198" i="6" s="1"/>
  <c r="D172" i="6"/>
  <c r="E172" i="6" s="1"/>
  <c r="D78" i="6"/>
  <c r="E78" i="6" s="1"/>
  <c r="D261" i="6"/>
  <c r="E261" i="6" s="1"/>
  <c r="D273" i="6"/>
  <c r="E273" i="6" s="1"/>
  <c r="D97" i="6"/>
  <c r="E97" i="6" s="1"/>
  <c r="D71" i="6"/>
  <c r="E71" i="6" s="1"/>
  <c r="D35" i="6"/>
  <c r="E35" i="6" s="1"/>
  <c r="D481" i="6"/>
  <c r="E481" i="6" s="1"/>
  <c r="D105" i="6"/>
  <c r="E105" i="6" s="1"/>
  <c r="D280" i="6"/>
  <c r="E280" i="6" s="1"/>
  <c r="D243" i="6"/>
  <c r="E243" i="6" s="1"/>
  <c r="D145" i="6"/>
  <c r="E145" i="6" s="1"/>
  <c r="D477" i="6"/>
  <c r="E477" i="6" s="1"/>
  <c r="D206" i="6"/>
  <c r="E206" i="6" s="1"/>
  <c r="D253" i="6"/>
  <c r="E253" i="6" s="1"/>
  <c r="D207" i="6"/>
  <c r="E207" i="6" s="1"/>
  <c r="D141" i="6"/>
  <c r="E141" i="6" s="1"/>
  <c r="D440" i="6"/>
  <c r="E440" i="6" s="1"/>
  <c r="D64" i="6"/>
  <c r="E64" i="6" s="1"/>
  <c r="D188" i="6"/>
  <c r="E188" i="6" s="1"/>
  <c r="D126" i="6"/>
  <c r="E126" i="6" s="1"/>
  <c r="D307" i="6"/>
  <c r="E307" i="6" s="1"/>
  <c r="D391" i="6"/>
  <c r="E391" i="6" s="1"/>
  <c r="D238" i="6"/>
  <c r="E238" i="6" s="1"/>
  <c r="D156" i="6"/>
  <c r="E156" i="6" s="1"/>
  <c r="D130" i="6"/>
  <c r="E130" i="6" s="1"/>
  <c r="D375" i="6"/>
  <c r="E375" i="6" s="1"/>
  <c r="D287" i="6"/>
  <c r="E287" i="6" s="1"/>
  <c r="D21" i="6"/>
  <c r="E21" i="6" s="1"/>
  <c r="D5" i="6"/>
  <c r="E5" i="6" s="1"/>
  <c r="D360" i="6"/>
  <c r="E360" i="6" s="1"/>
  <c r="D231" i="6"/>
  <c r="E231" i="6" s="1"/>
  <c r="D63" i="6"/>
  <c r="E63" i="6" s="1"/>
  <c r="D256" i="6"/>
  <c r="E256" i="6" s="1"/>
  <c r="D452" i="6"/>
  <c r="E452" i="6" s="1"/>
  <c r="D464" i="6"/>
  <c r="E464" i="6" s="1"/>
  <c r="D89" i="6"/>
  <c r="E89" i="6" s="1"/>
  <c r="D482" i="6"/>
  <c r="E482" i="6" s="1"/>
  <c r="D125" i="6"/>
  <c r="E125" i="6" s="1"/>
  <c r="D257" i="6"/>
  <c r="E257" i="6" s="1"/>
  <c r="D193" i="6"/>
  <c r="E193" i="6" s="1"/>
  <c r="D230" i="6"/>
  <c r="E230" i="6" s="1"/>
  <c r="D312" i="6"/>
  <c r="E312" i="6" s="1"/>
  <c r="D84" i="6"/>
  <c r="E84" i="6" s="1"/>
  <c r="D122" i="6"/>
  <c r="E122" i="6" s="1"/>
  <c r="D202" i="6"/>
  <c r="E202" i="6" s="1"/>
  <c r="D123" i="6"/>
  <c r="E123" i="6" s="1"/>
  <c r="D213" i="6"/>
  <c r="E213" i="6" s="1"/>
  <c r="D186" i="6"/>
  <c r="E186" i="6" s="1"/>
  <c r="D301" i="6"/>
  <c r="E301" i="6" s="1"/>
  <c r="D187" i="6"/>
  <c r="E187" i="6" s="1"/>
  <c r="D136" i="6"/>
  <c r="E136" i="6" s="1"/>
  <c r="D300" i="6"/>
  <c r="E300" i="6" s="1"/>
  <c r="D28" i="6"/>
  <c r="E28" i="6" s="1"/>
  <c r="D108" i="6"/>
  <c r="E108" i="6" s="1"/>
  <c r="D182" i="6"/>
  <c r="E182" i="6" s="1"/>
  <c r="D91" i="6"/>
  <c r="E91" i="6" s="1"/>
  <c r="D465" i="6"/>
  <c r="E465" i="6" s="1"/>
  <c r="D438" i="6"/>
  <c r="E438" i="6" s="1"/>
  <c r="D49" i="6"/>
  <c r="E49" i="6" s="1"/>
  <c r="D116" i="6"/>
  <c r="E116" i="6" s="1"/>
  <c r="D40" i="6"/>
  <c r="E40" i="6" s="1"/>
  <c r="D184" i="6"/>
  <c r="E184" i="6" s="1"/>
  <c r="D127" i="6"/>
  <c r="E127" i="6" s="1"/>
  <c r="D23" i="6"/>
  <c r="E23" i="6" s="1"/>
  <c r="D128" i="6"/>
  <c r="E128" i="6" s="1"/>
  <c r="D154" i="6"/>
  <c r="E154" i="6" s="1"/>
  <c r="D260" i="6"/>
  <c r="E260" i="6" s="1"/>
  <c r="D170" i="6"/>
  <c r="E170" i="6" s="1"/>
  <c r="D281" i="6"/>
  <c r="E281" i="6" s="1"/>
  <c r="D104" i="6"/>
  <c r="E104" i="6" s="1"/>
  <c r="D314" i="6"/>
  <c r="E314" i="6" s="1"/>
  <c r="D309" i="6"/>
  <c r="E309" i="6" s="1"/>
  <c r="D224" i="6"/>
  <c r="E224" i="6" s="1"/>
  <c r="D201" i="6"/>
  <c r="E201" i="6" s="1"/>
  <c r="D129" i="6"/>
  <c r="E129" i="6" s="1"/>
  <c r="D43" i="6"/>
  <c r="E43" i="6" s="1"/>
  <c r="D244" i="6"/>
  <c r="E244" i="6" s="1"/>
  <c r="D121" i="6"/>
  <c r="E121" i="6" s="1"/>
  <c r="D241" i="6"/>
  <c r="E241" i="6" s="1"/>
  <c r="D189" i="6"/>
  <c r="E189" i="6" s="1"/>
  <c r="D226" i="6"/>
  <c r="E226" i="6" s="1"/>
  <c r="D470" i="6"/>
  <c r="E470" i="6" s="1"/>
  <c r="D59" i="6"/>
  <c r="E59" i="6" s="1"/>
  <c r="D223" i="6"/>
  <c r="E223" i="6" s="1"/>
  <c r="D483" i="6"/>
  <c r="E483" i="6" s="1"/>
  <c r="D249" i="6"/>
  <c r="E249" i="6" s="1"/>
  <c r="D221" i="6"/>
  <c r="E221" i="6" s="1"/>
  <c r="D359" i="6"/>
  <c r="E359" i="6" s="1"/>
  <c r="D62" i="6"/>
  <c r="E62" i="6" s="1"/>
  <c r="D334" i="6"/>
  <c r="E334" i="6" s="1"/>
  <c r="D76" i="6"/>
  <c r="E76" i="6" s="1"/>
  <c r="D205" i="6"/>
  <c r="E205" i="6" s="1"/>
  <c r="D468" i="6"/>
  <c r="E468" i="6" s="1"/>
  <c r="D327" i="6"/>
  <c r="E327" i="6" s="1"/>
  <c r="D12" i="6"/>
  <c r="E12" i="6" s="1"/>
  <c r="D110" i="6"/>
  <c r="E110" i="6" s="1"/>
  <c r="D204" i="6"/>
  <c r="E204" i="6" s="1"/>
  <c r="D434" i="6"/>
  <c r="E434" i="6" s="1"/>
  <c r="D423" i="6"/>
  <c r="E423" i="6" s="1"/>
  <c r="D456" i="6"/>
  <c r="E456" i="6" s="1"/>
  <c r="D34" i="6"/>
  <c r="E34" i="6" s="1"/>
  <c r="D60" i="6"/>
  <c r="E60" i="6" s="1"/>
  <c r="D162" i="6"/>
  <c r="E162" i="6" s="1"/>
  <c r="D455" i="6"/>
  <c r="E455" i="6" s="1"/>
  <c r="D340" i="6"/>
  <c r="E340" i="6" s="1"/>
  <c r="D72" i="6"/>
  <c r="E72" i="6" s="1"/>
  <c r="D265" i="6"/>
  <c r="E265" i="6" s="1"/>
  <c r="D236" i="6"/>
  <c r="E236" i="6" s="1"/>
  <c r="D70" i="6"/>
  <c r="E70" i="6" s="1"/>
  <c r="D212" i="6"/>
  <c r="E212" i="6" s="1"/>
  <c r="D82" i="6"/>
  <c r="E82" i="6" s="1"/>
  <c r="D120" i="6"/>
  <c r="E120" i="6" s="1"/>
  <c r="D215" i="6"/>
  <c r="E215" i="6" s="1"/>
  <c r="D42" i="6"/>
  <c r="E42" i="6" s="1"/>
  <c r="D26" i="6"/>
  <c r="E26" i="6" s="1"/>
  <c r="D311" i="6"/>
  <c r="E311" i="6" s="1"/>
  <c r="D306" i="6"/>
  <c r="E306" i="6" s="1"/>
  <c r="D114" i="6"/>
  <c r="E114" i="6" s="1"/>
  <c r="D321" i="6"/>
  <c r="E321" i="6" s="1"/>
  <c r="D383" i="6"/>
  <c r="E383" i="6" s="1"/>
  <c r="D384" i="6"/>
  <c r="E384" i="6" s="1"/>
  <c r="D92" i="6"/>
  <c r="E92" i="6" s="1"/>
  <c r="D164" i="6"/>
  <c r="E164" i="6" s="1"/>
  <c r="D379" i="6"/>
  <c r="E379" i="6" s="1"/>
  <c r="D341" i="6"/>
  <c r="E341" i="6" s="1"/>
  <c r="D407" i="6"/>
  <c r="E407" i="6" s="1"/>
  <c r="D37" i="6"/>
  <c r="E37" i="6" s="1"/>
  <c r="D322" i="6"/>
  <c r="E322" i="6" s="1"/>
  <c r="D131" i="6"/>
  <c r="E131" i="6" s="1"/>
  <c r="D163" i="6"/>
  <c r="E163" i="6" s="1"/>
  <c r="D393" i="6"/>
  <c r="E393" i="6" s="1"/>
  <c r="D183" i="6"/>
  <c r="E183" i="6" s="1"/>
  <c r="D346" i="6"/>
  <c r="E346" i="6" s="1"/>
  <c r="D152" i="6"/>
  <c r="E152" i="6" s="1"/>
  <c r="D376" i="6"/>
  <c r="E376" i="6" s="1"/>
  <c r="D424" i="6"/>
  <c r="E424" i="6" s="1"/>
  <c r="D377" i="6"/>
  <c r="E377" i="6" s="1"/>
  <c r="D222" i="6"/>
  <c r="E222" i="6" s="1"/>
  <c r="D472" i="6"/>
  <c r="E472" i="6" s="1"/>
  <c r="D242" i="6"/>
  <c r="E242" i="6" s="1"/>
  <c r="D83" i="6"/>
  <c r="E83" i="6" s="1"/>
  <c r="D169" i="6"/>
  <c r="E169" i="6" s="1"/>
  <c r="D79" i="6"/>
  <c r="E79" i="6" s="1"/>
  <c r="D474" i="6"/>
  <c r="E474" i="6" s="1"/>
  <c r="D55" i="6"/>
  <c r="E55" i="6" s="1"/>
  <c r="D255" i="6"/>
  <c r="E255" i="6" s="1"/>
  <c r="D157" i="6"/>
  <c r="E157" i="6" s="1"/>
  <c r="D247" i="6"/>
  <c r="E247" i="6" s="1"/>
  <c r="D161" i="6"/>
  <c r="E161" i="6" s="1"/>
  <c r="D235" i="6"/>
  <c r="E235" i="6" s="1"/>
  <c r="D124" i="6"/>
  <c r="E124" i="6" s="1"/>
  <c r="D219" i="6"/>
  <c r="E219" i="6" s="1"/>
  <c r="D160" i="6"/>
  <c r="E160" i="6" s="1"/>
  <c r="D211" i="6"/>
  <c r="E211" i="6" s="1"/>
  <c r="D56" i="6"/>
  <c r="E56" i="6" s="1"/>
  <c r="D66" i="6"/>
  <c r="E66" i="6" s="1"/>
  <c r="D98" i="6"/>
  <c r="E98" i="6" s="1"/>
  <c r="D351" i="6"/>
  <c r="E351" i="6" s="1"/>
  <c r="D313" i="6"/>
  <c r="E313" i="6" s="1"/>
  <c r="D220" i="6"/>
  <c r="E220" i="6" s="1"/>
  <c r="D96" i="6"/>
  <c r="E96" i="6" s="1"/>
  <c r="D48" i="6"/>
  <c r="E48" i="6" s="1"/>
  <c r="D36" i="6"/>
  <c r="E36" i="6" s="1"/>
  <c r="D140" i="6"/>
  <c r="E140" i="6" s="1"/>
  <c r="D263" i="6"/>
  <c r="E263" i="6" s="1"/>
  <c r="D324" i="6"/>
  <c r="E324" i="6" s="1"/>
  <c r="D333" i="6"/>
  <c r="E333" i="6" s="1"/>
  <c r="D332" i="6"/>
  <c r="E332" i="6" s="1"/>
  <c r="D354" i="6"/>
  <c r="E354" i="6" s="1"/>
  <c r="D446" i="6"/>
  <c r="E446" i="6" s="1"/>
  <c r="D285" i="6"/>
  <c r="E285" i="6" s="1"/>
  <c r="D8" i="6"/>
  <c r="E8" i="6" s="1"/>
  <c r="D107" i="6"/>
  <c r="E107" i="6" s="1"/>
  <c r="D421" i="6"/>
  <c r="E421" i="6" s="1"/>
  <c r="D74" i="6"/>
  <c r="E74" i="6" s="1"/>
  <c r="D451" i="6"/>
  <c r="E451" i="6" s="1"/>
  <c r="D368" i="6"/>
  <c r="E368" i="6" s="1"/>
  <c r="D348" i="6"/>
  <c r="E348" i="6" s="1"/>
  <c r="D10" i="6"/>
  <c r="E10" i="6" s="1"/>
  <c r="D319" i="6"/>
  <c r="E319" i="6" s="1"/>
  <c r="D291" i="6"/>
  <c r="E291" i="6" s="1"/>
  <c r="D232" i="6"/>
  <c r="E232" i="6" s="1"/>
  <c r="D99" i="6"/>
  <c r="E99" i="6" s="1"/>
  <c r="D103" i="6"/>
  <c r="E103" i="6" s="1"/>
  <c r="D180" i="6"/>
  <c r="E180" i="6" s="1"/>
  <c r="D134" i="6"/>
  <c r="E134" i="6" s="1"/>
  <c r="D380" i="6"/>
  <c r="E380" i="6" s="1"/>
  <c r="D357" i="6"/>
  <c r="E357" i="6" s="1"/>
  <c r="D168" i="6"/>
  <c r="E168" i="6" s="1"/>
  <c r="D33" i="6"/>
  <c r="E33" i="6" s="1"/>
  <c r="D175" i="6"/>
  <c r="E175" i="6" s="1"/>
  <c r="D372" i="6"/>
  <c r="E372" i="6" s="1"/>
  <c r="D414" i="6"/>
  <c r="E414" i="6" s="1"/>
  <c r="D430" i="6"/>
  <c r="E430" i="6" s="1"/>
  <c r="D290" i="6"/>
  <c r="E290" i="6" s="1"/>
  <c r="D361" i="6"/>
  <c r="E361" i="6" s="1"/>
  <c r="D417" i="6"/>
  <c r="E417" i="6" s="1"/>
  <c r="D81" i="6"/>
  <c r="E81" i="6" s="1"/>
  <c r="D80" i="6"/>
  <c r="E80" i="6" s="1"/>
  <c r="D297" i="6"/>
  <c r="E297" i="6" s="1"/>
  <c r="D155" i="6"/>
  <c r="E155" i="6" s="1"/>
  <c r="D271" i="6"/>
  <c r="E271" i="6" s="1"/>
  <c r="D167" i="6"/>
  <c r="E167" i="6" s="1"/>
  <c r="D390" i="6"/>
  <c r="E390" i="6" s="1"/>
  <c r="D362" i="6"/>
  <c r="E362" i="6" s="1"/>
  <c r="D458" i="6"/>
  <c r="E458" i="6" s="1"/>
  <c r="D466" i="6"/>
  <c r="E466" i="6" s="1"/>
  <c r="D165" i="6"/>
  <c r="E165" i="6" s="1"/>
  <c r="D19" i="6"/>
  <c r="E19" i="6" s="1"/>
  <c r="D473" i="6"/>
  <c r="E473" i="6" s="1"/>
  <c r="D15" i="6"/>
  <c r="E15" i="6" s="1"/>
  <c r="D475" i="6"/>
  <c r="E475" i="6" s="1"/>
  <c r="D27" i="6"/>
  <c r="E27" i="6" s="1"/>
  <c r="D109" i="6"/>
  <c r="E109" i="6" s="1"/>
  <c r="D20" i="6"/>
  <c r="E20" i="6" s="1"/>
  <c r="D171" i="6"/>
  <c r="E171" i="6" s="1"/>
  <c r="D329" i="6"/>
  <c r="E329" i="6" s="1"/>
  <c r="D343" i="6"/>
  <c r="E343" i="6" s="1"/>
  <c r="D283" i="6"/>
  <c r="E283" i="6" s="1"/>
  <c r="D415" i="6"/>
  <c r="E415" i="6" s="1"/>
  <c r="D190" i="6"/>
  <c r="E190" i="6" s="1"/>
  <c r="D386" i="6"/>
  <c r="E386" i="6" s="1"/>
  <c r="D355" i="6"/>
  <c r="E355" i="6" s="1"/>
  <c r="D148" i="6"/>
  <c r="E148" i="6" s="1"/>
  <c r="D318" i="6"/>
  <c r="E318" i="6" s="1"/>
  <c r="D216" i="6"/>
  <c r="E216" i="6" s="1"/>
  <c r="D258" i="6"/>
  <c r="E258" i="6" s="1"/>
  <c r="D17" i="6"/>
  <c r="E17" i="6" s="1"/>
  <c r="D142" i="6"/>
  <c r="E142" i="6" s="1"/>
  <c r="D363" i="6"/>
  <c r="E363" i="6" s="1"/>
  <c r="D416" i="6"/>
  <c r="E416" i="6" s="1"/>
  <c r="D9" i="6"/>
  <c r="E9" i="6" s="1"/>
  <c r="D335" i="6"/>
  <c r="E335" i="6" s="1"/>
  <c r="D425" i="6"/>
  <c r="E425" i="6" s="1"/>
  <c r="D426" i="6"/>
  <c r="E426" i="6" s="1"/>
  <c r="D303" i="6"/>
  <c r="E303" i="6" s="1"/>
  <c r="D404" i="6"/>
  <c r="E404" i="6" s="1"/>
  <c r="D179" i="6"/>
  <c r="E179" i="6" s="1"/>
  <c r="D44" i="6"/>
  <c r="E44" i="6" s="1"/>
  <c r="D395" i="6"/>
  <c r="E395" i="6" s="1"/>
  <c r="D400" i="6"/>
  <c r="E400" i="6" s="1"/>
  <c r="D195" i="6"/>
  <c r="E195" i="6" s="1"/>
  <c r="D401" i="6"/>
  <c r="E401" i="6" s="1"/>
  <c r="D268" i="6"/>
  <c r="E268" i="6" s="1"/>
  <c r="D419" i="6"/>
  <c r="E419" i="6" s="1"/>
  <c r="D406" i="6"/>
  <c r="E406" i="6" s="1"/>
  <c r="D402" i="6"/>
  <c r="E402" i="6" s="1"/>
  <c r="D146" i="6"/>
  <c r="E146" i="6" s="1"/>
  <c r="D274" i="6"/>
  <c r="E274" i="6" s="1"/>
  <c r="D330" i="6"/>
  <c r="E330" i="6" s="1"/>
  <c r="D442" i="6"/>
  <c r="E442" i="6" s="1"/>
  <c r="D388" i="6"/>
  <c r="E388" i="6" s="1"/>
  <c r="D409" i="6"/>
  <c r="E409" i="6" s="1"/>
  <c r="D367" i="6"/>
  <c r="E367" i="6" s="1"/>
  <c r="D115" i="6"/>
  <c r="E115" i="6" s="1"/>
  <c r="D52" i="6"/>
  <c r="E52" i="6" s="1"/>
  <c r="D112" i="6"/>
  <c r="E112" i="6" s="1"/>
  <c r="D53" i="6"/>
  <c r="E53" i="6" s="1"/>
  <c r="D228" i="6"/>
  <c r="E228" i="6" s="1"/>
  <c r="D381" i="6"/>
  <c r="E381" i="6" s="1"/>
  <c r="D437" i="6"/>
  <c r="E437" i="6" s="1"/>
  <c r="D138" i="6"/>
  <c r="E138" i="6" s="1"/>
  <c r="D86" i="6"/>
  <c r="E86" i="6" s="1"/>
  <c r="D159" i="6"/>
  <c r="E159" i="6" s="1"/>
  <c r="D200" i="6"/>
  <c r="E200" i="6" s="1"/>
  <c r="D233" i="6"/>
  <c r="E233" i="6" s="1"/>
  <c r="D373" i="6"/>
  <c r="E373" i="6" s="1"/>
  <c r="D403" i="6"/>
  <c r="E403" i="6" s="1"/>
  <c r="D237" i="6"/>
  <c r="E237" i="6" s="1"/>
  <c r="D389" i="6"/>
  <c r="E389" i="6" s="1"/>
  <c r="D398" i="6"/>
  <c r="E398" i="6" s="1"/>
  <c r="D225" i="6"/>
  <c r="E225" i="6" s="1"/>
  <c r="D269" i="6"/>
  <c r="E269" i="6" s="1"/>
  <c r="D308" i="6"/>
  <c r="E308" i="6" s="1"/>
  <c r="D69" i="6"/>
  <c r="E69" i="6" s="1"/>
  <c r="D54" i="6"/>
  <c r="E54" i="6" s="1"/>
  <c r="D427" i="6"/>
  <c r="E427" i="6" s="1"/>
  <c r="D432" i="6"/>
  <c r="E432" i="6" s="1"/>
  <c r="D25" i="6"/>
  <c r="E25" i="6" s="1"/>
  <c r="D365" i="6"/>
  <c r="E365" i="6" s="1"/>
  <c r="D29" i="6"/>
  <c r="E29" i="6" s="1"/>
  <c r="D118" i="6"/>
  <c r="E118" i="6" s="1"/>
  <c r="D387" i="6"/>
  <c r="E387" i="6" s="1"/>
  <c r="D443" i="6"/>
  <c r="E443" i="6" s="1"/>
  <c r="D217" i="6"/>
  <c r="E217" i="6" s="1"/>
  <c r="D289" i="6"/>
  <c r="E289" i="6" s="1"/>
  <c r="D119" i="6"/>
  <c r="E119" i="6" s="1"/>
  <c r="D353" i="6"/>
  <c r="E353" i="6" s="1"/>
  <c r="D277" i="6"/>
  <c r="E277" i="6" s="1"/>
  <c r="D90" i="6"/>
  <c r="E90" i="6" s="1"/>
  <c r="D132" i="6"/>
  <c r="E132" i="6" s="1"/>
  <c r="D143" i="6"/>
  <c r="E143" i="6" s="1"/>
  <c r="D428" i="6"/>
  <c r="E428" i="6" s="1"/>
  <c r="D57" i="6"/>
  <c r="E57" i="6" s="1"/>
  <c r="D176" i="6"/>
  <c r="E176" i="6" s="1"/>
  <c r="D272" i="6"/>
  <c r="E272" i="6" s="1"/>
  <c r="D410" i="6"/>
  <c r="E410" i="6" s="1"/>
  <c r="D88" i="6"/>
  <c r="E88" i="6" s="1"/>
  <c r="D399" i="6"/>
  <c r="E399" i="6" s="1"/>
  <c r="D412" i="6"/>
  <c r="E412" i="6" s="1"/>
  <c r="D374" i="6"/>
  <c r="E374" i="6" s="1"/>
  <c r="D310" i="6"/>
  <c r="E310" i="6" s="1"/>
  <c r="D431" i="6"/>
  <c r="E431" i="6" s="1"/>
  <c r="D259" i="6"/>
  <c r="E259" i="6" s="1"/>
  <c r="D279" i="6"/>
  <c r="E279" i="6" s="1"/>
  <c r="D344" i="6"/>
  <c r="E344" i="6" s="1"/>
  <c r="D13" i="6"/>
  <c r="E13" i="6" s="1"/>
  <c r="D328" i="6"/>
  <c r="E328" i="6" s="1"/>
  <c r="D208" i="6"/>
  <c r="E208" i="6" s="1"/>
  <c r="D203" i="6"/>
  <c r="E203" i="6" s="1"/>
  <c r="D295" i="6"/>
  <c r="E295" i="6" s="1"/>
  <c r="D435" i="6"/>
  <c r="E435" i="6" s="1"/>
  <c r="D77" i="6"/>
  <c r="E77" i="6" s="1"/>
  <c r="D61" i="6"/>
  <c r="E61" i="6" s="1"/>
  <c r="D325" i="6"/>
  <c r="E325" i="6" s="1"/>
  <c r="D323" i="6"/>
  <c r="E323" i="6" s="1"/>
  <c r="D356" i="6"/>
  <c r="E356" i="6" s="1"/>
  <c r="D45" i="6"/>
  <c r="E45" i="6" s="1"/>
  <c r="D349" i="6"/>
  <c r="E349" i="6" s="1"/>
  <c r="D378" i="6"/>
  <c r="E378" i="6" s="1"/>
  <c r="D85" i="6"/>
  <c r="E85" i="6" s="1"/>
  <c r="D24" i="6"/>
  <c r="E24" i="6" s="1"/>
  <c r="D196" i="6"/>
  <c r="E196" i="6" s="1"/>
  <c r="D240" i="6"/>
  <c r="E240" i="6" s="1"/>
  <c r="D270" i="6"/>
  <c r="E270" i="6" s="1"/>
  <c r="D275" i="6"/>
  <c r="E275" i="6" s="1"/>
  <c r="D394" i="6"/>
  <c r="E394" i="6" s="1"/>
  <c r="D364" i="6"/>
  <c r="E364" i="6" s="1"/>
  <c r="D342" i="6"/>
  <c r="E342" i="6" s="1"/>
  <c r="D298" i="6"/>
  <c r="E298" i="6" s="1"/>
  <c r="D392" i="6"/>
  <c r="E392" i="6" s="1"/>
  <c r="D294" i="6"/>
  <c r="E294" i="6" s="1"/>
  <c r="D413" i="6"/>
  <c r="E413" i="6" s="1"/>
  <c r="D408" i="6"/>
  <c r="E408" i="6" s="1"/>
  <c r="D476" i="6"/>
  <c r="E476" i="6" s="1"/>
  <c r="D288" i="6"/>
  <c r="E288" i="6" s="1"/>
  <c r="D305" i="6"/>
  <c r="E305" i="6" s="1"/>
  <c r="D299" i="6"/>
  <c r="E299" i="6" s="1"/>
  <c r="D454" i="6"/>
  <c r="E454" i="6" s="1"/>
  <c r="D293" i="6"/>
  <c r="E293" i="6" s="1"/>
  <c r="D100" i="6"/>
  <c r="E100" i="6" s="1"/>
  <c r="D174" i="6"/>
  <c r="E174" i="6" s="1"/>
  <c r="D192" i="6"/>
  <c r="E192" i="6" s="1"/>
  <c r="D144" i="6"/>
  <c r="E144" i="6" s="1"/>
  <c r="D317" i="6"/>
  <c r="E317" i="6" s="1"/>
  <c r="D68" i="6"/>
  <c r="E68" i="6" s="1"/>
  <c r="D286" i="6"/>
  <c r="E286" i="6" s="1"/>
  <c r="D102" i="6"/>
  <c r="E102" i="6" s="1"/>
  <c r="D46" i="6"/>
  <c r="E46" i="6" s="1"/>
  <c r="D448" i="6"/>
  <c r="E448" i="6" s="1"/>
  <c r="D338" i="6"/>
  <c r="E338" i="6" s="1"/>
  <c r="D352" i="6"/>
  <c r="E352" i="6" s="1"/>
  <c r="D422" i="6"/>
  <c r="E422" i="6" s="1"/>
  <c r="D264" i="6"/>
  <c r="E264" i="6" s="1"/>
  <c r="D397" i="6"/>
  <c r="E397" i="6" s="1"/>
  <c r="D278" i="6"/>
  <c r="E278" i="6" s="1"/>
  <c r="D58" i="6"/>
  <c r="E58" i="6" s="1"/>
  <c r="D326" i="6"/>
  <c r="E326" i="6" s="1"/>
  <c r="D447" i="6"/>
  <c r="E447" i="6" s="1"/>
  <c r="D371" i="6"/>
  <c r="E371" i="6" s="1"/>
  <c r="D41" i="6"/>
  <c r="E41" i="6" s="1"/>
  <c r="D282" i="6"/>
  <c r="E282" i="6" s="1"/>
  <c r="D339" i="6"/>
  <c r="E339" i="6" s="1"/>
  <c r="D73" i="6"/>
  <c r="E73" i="6" s="1"/>
  <c r="D369" i="6"/>
  <c r="E369" i="6" s="1"/>
  <c r="D370" i="6"/>
  <c r="E370" i="6" s="1"/>
  <c r="D14" i="6"/>
  <c r="E14" i="6" s="1"/>
  <c r="D347" i="6"/>
  <c r="E347" i="6" s="1"/>
  <c r="D396" i="6"/>
  <c r="E396" i="6" s="1"/>
  <c r="D336" i="6"/>
  <c r="E336" i="6" s="1"/>
  <c r="D459" i="6"/>
  <c r="E459" i="6" s="1"/>
  <c r="D117" i="6"/>
  <c r="E117" i="6" s="1"/>
  <c r="D191" i="6"/>
  <c r="E191" i="6" s="1"/>
  <c r="D135" i="6"/>
  <c r="E135" i="6" s="1"/>
  <c r="D178" i="6"/>
  <c r="E178" i="6" s="1"/>
  <c r="D65" i="6"/>
  <c r="E65" i="6" s="1"/>
  <c r="D302" i="6"/>
  <c r="E302" i="6" s="1"/>
  <c r="D199" i="6"/>
  <c r="E199" i="6" s="1"/>
  <c r="D320" i="6"/>
  <c r="E320" i="6" s="1"/>
  <c r="D38" i="6"/>
  <c r="E38" i="6" s="1"/>
  <c r="D87" i="6"/>
  <c r="E87" i="6" s="1"/>
  <c r="D276" i="6"/>
  <c r="E276" i="6" s="1"/>
  <c r="D229" i="6"/>
  <c r="E229" i="6" s="1"/>
  <c r="D411" i="6"/>
  <c r="E411" i="6" s="1"/>
  <c r="D420" i="6"/>
  <c r="E420" i="6" s="1"/>
  <c r="D382" i="6"/>
  <c r="E382" i="6" s="1"/>
  <c r="D462" i="6"/>
  <c r="E462" i="6" s="1"/>
  <c r="D358" i="6"/>
  <c r="E358" i="6" s="1"/>
  <c r="D429" i="6"/>
  <c r="E429" i="6" s="1"/>
  <c r="D284" i="6"/>
  <c r="E284" i="6" s="1"/>
  <c r="D315" i="6"/>
  <c r="E315" i="6" s="1"/>
  <c r="D166" i="6"/>
  <c r="E166" i="6" s="1"/>
  <c r="D181" i="6"/>
  <c r="E181" i="6" s="1"/>
  <c r="D158" i="6"/>
  <c r="E158" i="6" s="1"/>
  <c r="D453" i="6"/>
  <c r="E453" i="6" s="1"/>
  <c r="D30" i="6"/>
  <c r="E30" i="6" s="1"/>
  <c r="D16" i="6"/>
  <c r="E16" i="6" s="1"/>
  <c r="D106" i="6"/>
  <c r="E106" i="6" s="1"/>
  <c r="D418" i="6"/>
  <c r="E418" i="6" s="1"/>
  <c r="D345" i="6"/>
  <c r="E345" i="6" s="1"/>
  <c r="D139" i="6"/>
  <c r="E139" i="6" s="1"/>
  <c r="D94" i="6"/>
  <c r="E94" i="6" s="1"/>
  <c r="D450" i="6"/>
  <c r="E450" i="6" s="1"/>
  <c r="D405" i="6"/>
  <c r="E405" i="6" s="1"/>
  <c r="D439" i="6"/>
  <c r="E439" i="6" s="1"/>
  <c r="D95" i="6"/>
  <c r="E95" i="6" s="1"/>
  <c r="D366" i="6"/>
  <c r="E366" i="6" s="1"/>
  <c r="D147" i="6"/>
  <c r="E147" i="6" s="1"/>
  <c r="D385" i="6"/>
  <c r="E385" i="6" s="1"/>
  <c r="D151" i="6"/>
  <c r="E151" i="6" s="1"/>
  <c r="D209" i="6"/>
  <c r="E209" i="6" s="1"/>
  <c r="D111" i="6"/>
  <c r="E111" i="6" s="1"/>
  <c r="D350" i="6"/>
  <c r="E350" i="6" s="1"/>
  <c r="D331" i="6"/>
  <c r="E3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2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  <comment ref="C4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若为</t>
        </r>
        <r>
          <rPr>
            <b/>
            <sz val="9"/>
            <rFont val="Tahoma"/>
            <family val="2"/>
          </rPr>
          <t>0</t>
        </r>
        <r>
          <rPr>
            <b/>
            <sz val="9"/>
            <rFont val="宋体"/>
            <family val="3"/>
            <charset val="134"/>
          </rPr>
          <t>，</t>
        </r>
        <r>
          <rPr>
            <b/>
            <sz val="9"/>
            <rFont val="Tahoma"/>
            <family val="2"/>
          </rPr>
          <t>,</t>
        </r>
        <r>
          <rPr>
            <b/>
            <sz val="9"/>
            <rFont val="宋体"/>
            <family val="3"/>
            <charset val="134"/>
          </rPr>
          <t xml:space="preserve">则默认开启显示
</t>
        </r>
        <r>
          <rPr>
            <b/>
            <sz val="9"/>
            <rFont val="宋体"/>
            <family val="3"/>
            <charset val="134"/>
          </rPr>
          <t>若</t>
        </r>
        <r>
          <rPr>
            <b/>
            <sz val="9"/>
            <rFont val="Tahoma"/>
            <family val="2"/>
          </rPr>
          <t>&gt;0</t>
        </r>
        <r>
          <rPr>
            <b/>
            <sz val="9"/>
            <rFont val="宋体"/>
            <family val="3"/>
            <charset val="134"/>
          </rPr>
          <t>，则需要待对应的任务完成领取奖励后才开启</t>
        </r>
      </text>
    </comment>
    <comment ref="J4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<sst xmlns="http://schemas.openxmlformats.org/spreadsheetml/2006/main" count="565" uniqueCount="306">
  <si>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</si>
  <si>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</si>
  <si>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</si>
  <si>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</si>
  <si>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</si>
  <si>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</si>
  <si>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</si>
  <si>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</si>
  <si>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</si>
  <si>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</si>
  <si>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</si>
  <si>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</si>
  <si>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</si>
  <si>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</si>
  <si>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</si>
  <si>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</si>
  <si>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</si>
  <si>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</si>
  <si>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</si>
  <si>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</si>
  <si>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</si>
  <si>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</si>
  <si>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</si>
  <si>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</si>
  <si>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</si>
  <si>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</si>
  <si>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物品id和个数</t>
  </si>
  <si>
    <t>precondition</t>
  </si>
  <si>
    <t>name</t>
  </si>
  <si>
    <t>condition</t>
  </si>
  <si>
    <t>value1</t>
  </si>
  <si>
    <t>value2</t>
  </si>
  <si>
    <t>pic</t>
  </si>
  <si>
    <t>ui_link</t>
  </si>
  <si>
    <t>string</t>
  </si>
  <si>
    <t>任务ID</t>
  </si>
  <si>
    <t>任务类型</t>
  </si>
  <si>
    <t>后置任务ID</t>
  </si>
  <si>
    <t>任务名称</t>
  </si>
  <si>
    <t>条件类型</t>
  </si>
  <si>
    <t>条件参数</t>
  </si>
  <si>
    <t>条件值</t>
  </si>
  <si>
    <t>展示图片</t>
  </si>
  <si>
    <t>链接界面</t>
  </si>
  <si>
    <t>[["i001",5000],["i103",10]]</t>
  </si>
  <si>
    <t>unexport</t>
  </si>
  <si>
    <t>名称</t>
    <phoneticPr fontId="7" type="noConversion"/>
  </si>
  <si>
    <t>[["i001",10000],["i103",10]]</t>
  </si>
  <si>
    <t>[["i001",500],["i103",1]]</t>
  </si>
  <si>
    <t>[["i001",1000],["i103",2]]</t>
  </si>
  <si>
    <t>[["i001",1500],["i103",3]]</t>
  </si>
  <si>
    <t>[["i001",2000],["i103",4]]</t>
  </si>
  <si>
    <t>[["i001",2500],["i103",5]]</t>
  </si>
  <si>
    <t>[["i001",3000],["i103",6]]</t>
  </si>
  <si>
    <t>[["i001",3500],["i103",7]]</t>
  </si>
  <si>
    <t>[["i001",4000],["i103",8]]</t>
  </si>
  <si>
    <t>[["i001",4500],["i103",9]]</t>
  </si>
  <si>
    <t>[["i001",5500],["i103",11]]</t>
  </si>
  <si>
    <t>[["i001",6000],["i103",12]]</t>
  </si>
  <si>
    <t>[["i001",6500],["i103",13]]</t>
  </si>
  <si>
    <t>[["i001",7000],["i103",14]]</t>
  </si>
  <si>
    <t>[["i001",7500],["i103",15]]</t>
  </si>
  <si>
    <t>[["i001",8000],["i103",16]]</t>
  </si>
  <si>
    <t>[["i001",9000],["i103",18]]</t>
  </si>
  <si>
    <t>[["i001",10000],["i103",20]]</t>
  </si>
  <si>
    <t>[["i001",10500],["i103",21]]</t>
  </si>
  <si>
    <t>[["i001",12000],["i103",24]]</t>
  </si>
  <si>
    <t>[["i001",13500],["i103",27]]</t>
  </si>
  <si>
    <t>[["i001",15000],["i103",30]]</t>
  </si>
  <si>
    <t>[["i001",14000],["i103",28]]</t>
  </si>
  <si>
    <t>[["i001",16000],["i103",32]]</t>
  </si>
  <si>
    <t>[["i001",20000],["i103",40]]</t>
  </si>
  <si>
    <t>[["i001",12500],["i103",25]]</t>
  </si>
  <si>
    <t>[["i001",17500],["i103",35]]</t>
  </si>
  <si>
    <t>[["i001",22500],["i103",45]]</t>
  </si>
  <si>
    <t>[["i001",8500],["i103",17]]</t>
  </si>
  <si>
    <t>[["i001",9500],["i103",19]]</t>
  </si>
  <si>
    <t>[["i001",11000],["i103",22]]</t>
  </si>
  <si>
    <t>[["i001",11500],["i103",23]]</t>
  </si>
  <si>
    <t>[["i001",13000],["i103",26]]</t>
  </si>
  <si>
    <t>[["i001",14500],["i103",29]]</t>
  </si>
  <si>
    <t>[["i001",15500],["i103",31]]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</si>
  <si>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</si>
  <si>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</si>
  <si>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</si>
  <si>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</si>
  <si>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</si>
  <si>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</si>
  <si>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</si>
  <si>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</si>
  <si>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</si>
  <si>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</si>
  <si>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</si>
  <si>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</si>
  <si>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</si>
  <si>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</si>
  <si>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</si>
  <si>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</si>
  <si>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</si>
  <si>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</si>
  <si>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</si>
  <si>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</si>
  <si>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</si>
  <si>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</si>
  <si>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</si>
  <si>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[["i002",1],["i103",1]]</t>
  </si>
  <si>
    <t>[["i002",1],["i103",2]]</t>
  </si>
  <si>
    <t>[["i002",2],["i103",3]]</t>
  </si>
  <si>
    <t>[["i002",2],["i103",4]]</t>
  </si>
  <si>
    <t>[["i002",3],["i103",5]]</t>
  </si>
  <si>
    <t>[["i002",3],["i103",6]]</t>
  </si>
  <si>
    <t>[["i002",4],["i103",7]]</t>
  </si>
  <si>
    <t>[["i002",4],["i103",8]]</t>
  </si>
  <si>
    <t>[["i002",5],["i103",9]]</t>
  </si>
  <si>
    <t>[["i002",5],["i103",10]]</t>
  </si>
  <si>
    <t>[["i002",6],["i103",11]]</t>
  </si>
  <si>
    <t>[["i002",6],["i103",12]]</t>
  </si>
  <si>
    <t>[["i002",7],["i103",13]]</t>
  </si>
  <si>
    <t>[["i002",7],["i103",14]]</t>
  </si>
  <si>
    <t>[["i002",8],["i103",15]]</t>
  </si>
  <si>
    <t>[["i002",8],["i103",16]]</t>
  </si>
  <si>
    <t>[["i002",2],["i103",2]]</t>
  </si>
  <si>
    <t>[["i002",3],["i103",3]]</t>
  </si>
  <si>
    <t>[["i002",4],["i103",4]]</t>
  </si>
  <si>
    <t>[["i002",5],["i103",5]]</t>
  </si>
  <si>
    <t>[["i002",6],["i103",6]]</t>
  </si>
  <si>
    <t>[["i002",7],["i103",7]]</t>
  </si>
  <si>
    <t>[["i002",8],["i103",8]]</t>
  </si>
  <si>
    <t>[["i002",9],["i103",9]]</t>
  </si>
  <si>
    <t>[["i002",4],["i103",3]]</t>
  </si>
  <si>
    <t>[["i002",6],["i103",4]]</t>
  </si>
  <si>
    <t>[["i002",8],["i103",5]]</t>
  </si>
  <si>
    <t>[["i002",10],["i103",6]]</t>
  </si>
  <si>
    <t>[["i002",12],["i103",7]]</t>
  </si>
  <si>
    <t>[["i002",14],["i103",8]]</t>
  </si>
  <si>
    <t>[["i002",16],["i103",9]]</t>
  </si>
  <si>
    <t>[["i002",18],["i103",10]]</t>
  </si>
  <si>
    <t>[["i002",20],["i103",11]]</t>
  </si>
  <si>
    <t>[["i002",22],["i103",12]]</t>
  </si>
  <si>
    <t>[["i002",24],["i103",13]]</t>
  </si>
  <si>
    <t>[["i002",26],["i103",14]]</t>
  </si>
  <si>
    <t>[["i002",28],["i103",15]]</t>
  </si>
  <si>
    <t>[["i002",30],["i103",16]]</t>
  </si>
  <si>
    <t>[["i002",35],["i103",17]]</t>
  </si>
  <si>
    <t>[["i002",40],["i103",18]]</t>
  </si>
  <si>
    <t>[["i002",45],["i103",19]]</t>
  </si>
  <si>
    <t>[["i002",50],["i103",20]]</t>
  </si>
  <si>
    <t>[["i002",55],["i103",21]]</t>
  </si>
  <si>
    <t>[["i002",60],["i103",22]]</t>
  </si>
  <si>
    <t>[["i002",65],["i103",23]]</t>
  </si>
  <si>
    <t>[["i002",70],["i103",24]]</t>
  </si>
  <si>
    <t>[["i002",75],["i103",25]]</t>
  </si>
  <si>
    <t>[["i002",80],["i103",26]]</t>
  </si>
  <si>
    <t>[["i002",85],["i103",27]]</t>
  </si>
  <si>
    <t>[["i002",90],["i103",28]]</t>
  </si>
  <si>
    <t>[["i002",95],["i103",29]]</t>
  </si>
  <si>
    <t>[["i002",100],["i103",30]]</t>
  </si>
  <si>
    <t>[["i002",10],["i103",10]]</t>
  </si>
  <si>
    <t>[["i001",2000],["i103",1]]</t>
  </si>
  <si>
    <t>[["i001",4000],["i103",2]]</t>
  </si>
  <si>
    <t>[["i001",6000],["i103",3]]</t>
  </si>
  <si>
    <t>[["i001",8000],["i103",4]]</t>
  </si>
  <si>
    <t>[["i001",10000],["i103",5]]</t>
  </si>
  <si>
    <t>[["i001",12000],["i103",6]]</t>
  </si>
  <si>
    <t>[["i001",14000],["i103",7]]</t>
  </si>
  <si>
    <t>[["i001",16000],["i103",8]]</t>
  </si>
  <si>
    <t>[["i001",18000],["i103",9]]</t>
  </si>
  <si>
    <t>[["i001",20000],["i103",10]]</t>
  </si>
  <si>
    <t>[["i001",22000],["i103",11]]</t>
  </si>
  <si>
    <t>[["i001",24000],["i103",12]]</t>
  </si>
  <si>
    <t>[["i001",26000],["i103",13]]</t>
  </si>
  <si>
    <t>[["i001",28000],["i103",14]]</t>
  </si>
  <si>
    <t>[["i001",30000],["i103",15]]</t>
  </si>
  <si>
    <t>[["i001",32000],["i103",16]]</t>
  </si>
  <si>
    <t>[["i001",34000],["i103",17]]</t>
  </si>
  <si>
    <t>[["i001",36000],["i103",18]]</t>
  </si>
  <si>
    <t>[["i001",38000],["i103",19]]</t>
  </si>
  <si>
    <t>[["i001",40000],["i103",20]]</t>
  </si>
  <si>
    <t>[["i001",2000],["i103",2]]</t>
  </si>
  <si>
    <t>[["i001",4000],["i103",4]]</t>
  </si>
  <si>
    <t>[["i001",6000],["i103",6]]</t>
  </si>
  <si>
    <t>[["i001",8000],["i103",8]]</t>
  </si>
  <si>
    <t>[["i001",12000],["i103",12]]</t>
  </si>
  <si>
    <t>[["i001",14000],["i103",14]]</t>
  </si>
  <si>
    <t>[["i001",16000],["i103",16]]</t>
  </si>
  <si>
    <t>[["i001",18000],["i103",18]]</t>
  </si>
  <si>
    <t>[["i001",20000],["i103",20]]</t>
  </si>
  <si>
    <t>[["i001",22000],["i103",22]]</t>
  </si>
  <si>
    <t>[["i001",3000],["i103",3]]</t>
  </si>
  <si>
    <t>[["i001",9000],["i103",9]]</t>
  </si>
  <si>
    <t>[["i001",15000],["i103",15]]</t>
  </si>
  <si>
    <t>[["i001",21000],["i103",21]]</t>
  </si>
  <si>
    <t>[["i001",24000],["i103",24]]</t>
  </si>
  <si>
    <t>[["i001",27000],["i103",27]]</t>
  </si>
  <si>
    <t>[["i001",30000],["i103",30]]</t>
  </si>
  <si>
    <t>[["i001",33000],["i103",33]]</t>
  </si>
  <si>
    <t>[["i001",28000],["i103",28]]</t>
  </si>
  <si>
    <t>[["i001",32000],["i103",32]]</t>
  </si>
  <si>
    <t>[["i001",36000],["i103",36]]</t>
  </si>
  <si>
    <t>[["i001",40000],["i103",40]]</t>
  </si>
  <si>
    <t>[["i001",44000],["i103",44]]</t>
  </si>
  <si>
    <t>[["i002",2],["i103",1]]</t>
  </si>
  <si>
    <t>[["i002",4],["i103",2]]</t>
  </si>
  <si>
    <t>[["i002",6],["i103",3]]</t>
  </si>
  <si>
    <t>[["i002",8],["i103",4]]</t>
  </si>
  <si>
    <t>[["i002",10],["i103",5]]</t>
  </si>
  <si>
    <t>[["i002",12],["i103",6]]</t>
  </si>
  <si>
    <t>[["i002",14],["i103",7]]</t>
  </si>
  <si>
    <t>[["i002",16],["i103",8]]</t>
  </si>
  <si>
    <t>[["i002",18],["i103",9]]</t>
  </si>
  <si>
    <t>[["i002",20],["i103",10]]</t>
  </si>
  <si>
    <t>[["i002",3],["i103",1]]</t>
  </si>
  <si>
    <t>[["i002",6],["i103",2]]</t>
  </si>
  <si>
    <t>[["i002",9],["i103",3]]</t>
  </si>
  <si>
    <t>[["i002",12],["i103",4]]</t>
  </si>
  <si>
    <t>[["i002",15],["i103",5]]</t>
  </si>
  <si>
    <t>[["i002",18],["i103",6]]</t>
  </si>
  <si>
    <t>[["i002",21],["i103",7]]</t>
  </si>
  <si>
    <t>[["i002",24],["i103",8]]</t>
  </si>
  <si>
    <t>[["i002",27],["i103",9]]</t>
  </si>
  <si>
    <t>[["i002",30],["i103",10]]</t>
  </si>
  <si>
    <t>[["i002",33],["i103",11]]</t>
  </si>
  <si>
    <t>[["i002",36],["i103",12]]</t>
  </si>
  <si>
    <t>[["i002",39],["i103",13]]</t>
  </si>
  <si>
    <t>[["i002",42],["i103",14]]</t>
  </si>
  <si>
    <t>[["i002",45],["i103",15]]</t>
  </si>
  <si>
    <t>[["i002",48],["i103",16]]</t>
  </si>
  <si>
    <t>[["i001",1000],["i103",1]]</t>
  </si>
  <si>
    <t>[["i001",5000],["i103",5]]</t>
  </si>
  <si>
    <t>[["i001",7000],["i103",7]]</t>
  </si>
  <si>
    <t>[["i001",11000],["i103",11]]</t>
  </si>
  <si>
    <t>[["i001",13000],["i103",13]]</t>
  </si>
  <si>
    <t>[["i001",17000],["i103",17]]</t>
  </si>
  <si>
    <t>[["i002",600],["i103",120]]</t>
  </si>
  <si>
    <t>[["i001",25000],["i103",25]]</t>
  </si>
  <si>
    <t>[["i001",35000],["i103",35]]</t>
  </si>
  <si>
    <t>[["i001",45000],["i103",45]]</t>
  </si>
  <si>
    <t>[["i001",50000],["i103",50]]</t>
  </si>
  <si>
    <t>[["i001",55000],["i103",55]]</t>
  </si>
  <si>
    <t>[["i001",60000],["i103",60]]</t>
  </si>
  <si>
    <t>[["i001",65000],["i103",65]]</t>
  </si>
  <si>
    <t>[["i001",70000],["i103",70]]</t>
  </si>
  <si>
    <t>[["i001",75000],["i103",75]]</t>
  </si>
  <si>
    <t>[["i015",1],["i103",10]]</t>
  </si>
  <si>
    <t>[["i002",50],["i103",10]]</t>
  </si>
  <si>
    <t>[["i002",100],["i103",20]]</t>
  </si>
  <si>
    <t>[["i002",150],["i103",30]]</t>
  </si>
  <si>
    <t>[["i002",200],["i103",40]]</t>
  </si>
  <si>
    <t>[["i002",250],["i103",50]]</t>
  </si>
  <si>
    <t>[["i002",300],["i103",60]]</t>
  </si>
  <si>
    <t>[["i002",350],["i103",70]]</t>
  </si>
  <si>
    <t>[["i002",400],["i103",80]]</t>
  </si>
  <si>
    <t>[["i002",450],["i103",90]]</t>
  </si>
  <si>
    <t>[["i002",500],["i103",100]]</t>
  </si>
  <si>
    <t>[["i002",550],["i103",110]]</t>
  </si>
  <si>
    <t>[["i002",650],["i103",130]]</t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</si>
  <si>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</si>
  <si>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</si>
  <si>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</si>
  <si>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[["i001",16500],["i103",33]]</t>
  </si>
  <si>
    <t>[["i001",17000],["i103",34]]</t>
  </si>
  <si>
    <t>[["i001",18000],["i103",36]]</t>
  </si>
  <si>
    <t>[["i001",18500],["i103",37]]</t>
  </si>
  <si>
    <t>[["i001",19000],["i103",38]]</t>
  </si>
  <si>
    <t>[["i001",19500],["i103",39]]</t>
  </si>
  <si>
    <t>[["i001",20500],["i103",41]]</t>
  </si>
  <si>
    <t>[["i001",21000],["i103",42]]</t>
  </si>
  <si>
    <t>[["i001",21500],["i103",43]]</t>
  </si>
  <si>
    <t>[["i001",22000],["i103",44]]</t>
  </si>
  <si>
    <t>[["i001",23000],["i103",46]]</t>
  </si>
  <si>
    <t>[["i001",23500],["i103",47]]</t>
  </si>
  <si>
    <t>[["i001",24000],["i103",48]]</t>
  </si>
  <si>
    <t>[["i001",24500],["i103",49]]</t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</si>
  <si>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</si>
  <si>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</si>
  <si>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</si>
  <si>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[["i001",6000],["i103",2]]</t>
  </si>
  <si>
    <t>[["i001",12000],["i103",4]]</t>
  </si>
  <si>
    <t>[["i001",18000],["i103",6]]</t>
  </si>
  <si>
    <t>[["i001",24000],["i103",8]]</t>
  </si>
  <si>
    <t>[["i001",30000],["i103",10]]</t>
  </si>
  <si>
    <t>[["i001",36000],["i103",12]]</t>
  </si>
  <si>
    <t>[["i001",42000],["i103",14]]</t>
  </si>
  <si>
    <t>[["i001",48000],["i103",16]]</t>
  </si>
  <si>
    <t>[["i001",54000],["i103",18]]</t>
  </si>
  <si>
    <t>[["i001",60000],["i103",20]]</t>
  </si>
  <si>
    <t>[["i001",26000],["i103",26]]</t>
  </si>
  <si>
    <t>[["i001",34000],["i103",34]]</t>
  </si>
  <si>
    <t>[["i001",38000],["i103",38]]</t>
  </si>
  <si>
    <t>[["i001",42000],["i103",42]]</t>
  </si>
  <si>
    <t>[["i001",66000],["i103",22]]</t>
  </si>
  <si>
    <t>[["i001",42000],["i103",21]]</t>
  </si>
  <si>
    <t>[["i001",19000],["i103",19]]</t>
  </si>
  <si>
    <t>[["i001",1000],["i102",10]]</t>
  </si>
  <si>
    <t>[["i001",5000],["i102",20]]</t>
  </si>
  <si>
    <t>[["i006",1],["i102",10]]</t>
  </si>
  <si>
    <t>[["i001",10000],["i102",10]]</t>
  </si>
  <si>
    <t>[["i015",1],["i103",20]]</t>
  </si>
  <si>
    <t>[["i015",1],["i103",30]]</t>
  </si>
  <si>
    <t>[["i015",1],["i103",40]]</t>
  </si>
  <si>
    <t>[["i015",1],["i103",50]]</t>
  </si>
  <si>
    <t>[["i006",1],["i102",10]]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</si>
  <si>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</si>
  <si>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</si>
  <si>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</si>
  <si>
    <t>30. 参加x次皮肤抽奖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</si>
</sst>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9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10" fillId="0" borderId="0" xfId="0" applyNumberFormat="1" applyFont="1"/>
    <xf numFmtId="0" fontId="10" fillId="0" borderId="0" xfId="0" applyFont="1"/>
    <xf numFmtId="0" fontId="9" fillId="0" borderId="0" xfId="0" applyNumberFormat="1" applyFont="1" applyAlignment="1">
      <alignment vertical="center"/>
    </xf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1" fillId="7" borderId="1" xfId="2" applyNumberFormat="1" applyFont="1" applyFill="1" applyBorder="1" applyAlignment="1">
      <alignment horizontal="right"/>
    </xf>
    <xf numFmtId="49" fontId="11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1" fillId="8" borderId="1" xfId="0" applyNumberFormat="1" applyFont="1" applyFill="1" applyBorder="1" applyAlignment="1">
      <alignment horizontal="right" vertical="center"/>
    </xf>
    <xf numFmtId="49" fontId="11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6171A14-3C7E-40D8-859C-03A13944506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  <sheetName val="string_string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K484" totalsRowShown="0">
  <autoFilter ref="A4:K484" xr:uid="{00000000-0009-0000-0100-000001000000}"/>
  <tableColumns count="11">
    <tableColumn id="1" xr3:uid="{00000000-0010-0000-0100-000001000000}" name="任务ID" dataDxfId="7"/>
    <tableColumn id="2" xr3:uid="{00000000-0010-0000-0100-000002000000}" name="任务类型" dataDxfId="6"/>
    <tableColumn id="3" xr3:uid="{00000000-0010-0000-0100-000003000000}" name="后置任务ID" dataDxfId="5"/>
    <tableColumn id="4" xr3:uid="{00000000-0010-0000-0100-000004000000}" name="任务名称" dataDxfId="4">
      <calculatedColumnFormula>"quest_name_"&amp;表1[[#This Row],[任务ID]]</calculatedColumnFormula>
    </tableColumn>
    <tableColumn id="11" xr3:uid="{00000000-0010-0000-0100-00000B000000}" name="名称" dataDxfId="3">
      <calculatedColumnFormula>VLOOKUP(表1[[#This Row],[任务名称]],[1]!表1_8[#Data],2,FALSE)</calculatedColumnFormula>
    </tableColumn>
    <tableColumn id="5" xr3:uid="{00000000-0010-0000-0100-000005000000}" name="条件类型" dataDxfId="2"/>
    <tableColumn id="6" xr3:uid="{00000000-0010-0000-0100-000006000000}" name="条件参数" dataDxfId="1"/>
    <tableColumn id="7" xr3:uid="{00000000-0010-0000-0100-000007000000}" name="条件值" dataDxfId="0"/>
    <tableColumn id="8" xr3:uid="{00000000-0010-0000-0100-000008000000}" name="展示图片"/>
    <tableColumn id="9" xr3:uid="{00000000-0010-0000-0100-000009000000}" name="物品id和个数"/>
    <tableColumn id="10" xr3:uid="{00000000-0010-0000-0100-00000A000000}" name="链接界面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7"/>
  <sheetViews>
    <sheetView tabSelected="1" topLeftCell="A13" workbookViewId="0">
      <selection activeCell="B44" sqref="B44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7" t="s">
        <v>8</v>
      </c>
      <c r="B6" s="28"/>
    </row>
    <row r="7" spans="1:2" x14ac:dyDescent="0.15">
      <c r="A7" s="28"/>
      <c r="B7" s="28"/>
    </row>
    <row r="8" spans="1:2" x14ac:dyDescent="0.15">
      <c r="A8" s="28"/>
      <c r="B8" s="28"/>
    </row>
    <row r="9" spans="1:2" x14ac:dyDescent="0.15">
      <c r="A9" s="28"/>
      <c r="B9" s="28"/>
    </row>
    <row r="10" spans="1:2" x14ac:dyDescent="0.15">
      <c r="A10" s="28"/>
      <c r="B10" s="28"/>
    </row>
    <row r="11" spans="1:2" x14ac:dyDescent="0.15">
      <c r="A11" s="28"/>
      <c r="B11" s="28"/>
    </row>
    <row r="12" spans="1:2" x14ac:dyDescent="0.15">
      <c r="A12" s="28"/>
      <c r="B12" s="28"/>
    </row>
    <row r="13" spans="1:2" x14ac:dyDescent="0.15">
      <c r="A13" s="28"/>
      <c r="B13" s="28"/>
    </row>
    <row r="14" spans="1:2" x14ac:dyDescent="0.15">
      <c r="A14" s="28"/>
      <c r="B14" s="28"/>
    </row>
    <row r="15" spans="1:2" x14ac:dyDescent="0.15">
      <c r="A15" s="28"/>
      <c r="B15" s="28"/>
    </row>
    <row r="16" spans="1:2" ht="13.15" customHeight="1" x14ac:dyDescent="0.15">
      <c r="A16" s="28"/>
      <c r="B16" s="28"/>
    </row>
    <row r="17" spans="1:2" ht="4.1500000000000004" customHeight="1" x14ac:dyDescent="0.15">
      <c r="A17" s="28"/>
      <c r="B17" s="28"/>
    </row>
    <row r="18" spans="1:2" hidden="1" x14ac:dyDescent="0.15">
      <c r="A18" s="28"/>
      <c r="B18" s="28"/>
    </row>
    <row r="19" spans="1:2" hidden="1" x14ac:dyDescent="0.15">
      <c r="A19" s="28"/>
      <c r="B19" s="28"/>
    </row>
    <row r="20" spans="1:2" hidden="1" x14ac:dyDescent="0.15">
      <c r="A20" s="28"/>
      <c r="B20" s="28"/>
    </row>
    <row r="21" spans="1:2" ht="22.9" customHeight="1" x14ac:dyDescent="0.15">
      <c r="A21" s="28"/>
      <c r="B21" s="28"/>
    </row>
    <row r="22" spans="1:2" ht="45" hidden="1" customHeight="1" x14ac:dyDescent="0.15">
      <c r="A22" s="28"/>
      <c r="B22" s="28"/>
    </row>
    <row r="23" spans="1:2" ht="51" hidden="1" customHeight="1" x14ac:dyDescent="0.15">
      <c r="A23" s="28"/>
      <c r="B23" s="28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/>
      <c r="B26" s="26"/>
    </row>
    <row r="27" spans="1:2" x14ac:dyDescent="0.15">
      <c r="A27" s="26"/>
      <c r="B27" s="26"/>
    </row>
    <row r="28" spans="1:2" x14ac:dyDescent="0.15">
      <c r="A28" s="2" t="s">
        <v>11</v>
      </c>
      <c r="B28" s="11" t="s">
        <v>82</v>
      </c>
    </row>
    <row r="29" spans="1:2" x14ac:dyDescent="0.15">
      <c r="A29" s="2" t="s">
        <v>12</v>
      </c>
      <c r="B29" s="11" t="s">
        <v>83</v>
      </c>
    </row>
    <row r="30" spans="1:2" x14ac:dyDescent="0.15">
      <c r="A30" s="2" t="s">
        <v>13</v>
      </c>
      <c r="B30" s="11" t="s">
        <v>84</v>
      </c>
    </row>
    <row r="31" spans="1:2" x14ac:dyDescent="0.15">
      <c r="A31" s="2" t="s">
        <v>14</v>
      </c>
      <c r="B31" s="11" t="s">
        <v>85</v>
      </c>
    </row>
    <row r="32" spans="1:2" x14ac:dyDescent="0.15">
      <c r="A32" s="2" t="s">
        <v>15</v>
      </c>
      <c r="B32" s="11" t="s">
        <v>86</v>
      </c>
    </row>
    <row r="33" spans="1:2" x14ac:dyDescent="0.15">
      <c r="A33" s="2" t="s">
        <v>16</v>
      </c>
      <c r="B33" s="11" t="s">
        <v>87</v>
      </c>
    </row>
    <row r="34" spans="1:2" x14ac:dyDescent="0.15">
      <c r="A34" s="2" t="s">
        <v>17</v>
      </c>
      <c r="B34" s="11" t="s">
        <v>88</v>
      </c>
    </row>
    <row r="35" spans="1:2" x14ac:dyDescent="0.15">
      <c r="A35" s="6" t="s">
        <v>18</v>
      </c>
      <c r="B35" s="11" t="s">
        <v>89</v>
      </c>
    </row>
    <row r="36" spans="1:2" x14ac:dyDescent="0.15">
      <c r="A36" s="6" t="s">
        <v>19</v>
      </c>
      <c r="B36" s="11" t="s">
        <v>90</v>
      </c>
    </row>
    <row r="37" spans="1:2" x14ac:dyDescent="0.15">
      <c r="A37" s="6" t="s">
        <v>20</v>
      </c>
      <c r="B37" s="11" t="s">
        <v>91</v>
      </c>
    </row>
    <row r="38" spans="1:2" x14ac:dyDescent="0.15">
      <c r="A38" s="6"/>
      <c r="B38" s="11" t="s">
        <v>92</v>
      </c>
    </row>
    <row r="39" spans="1:2" x14ac:dyDescent="0.15">
      <c r="A39" s="6"/>
      <c r="B39" s="11" t="s">
        <v>93</v>
      </c>
    </row>
    <row r="40" spans="1:2" x14ac:dyDescent="0.15">
      <c r="A40" s="6"/>
      <c r="B40" s="11" t="s">
        <v>94</v>
      </c>
    </row>
    <row r="41" spans="1:2" x14ac:dyDescent="0.15">
      <c r="A41" s="6"/>
      <c r="B41" s="11" t="s">
        <v>95</v>
      </c>
    </row>
    <row r="42" spans="1:2" x14ac:dyDescent="0.15">
      <c r="A42" s="6"/>
      <c r="B42" s="11" t="s">
        <v>96</v>
      </c>
    </row>
    <row r="43" spans="1:2" x14ac:dyDescent="0.15">
      <c r="A43" s="6"/>
      <c r="B43" s="11" t="s">
        <v>97</v>
      </c>
    </row>
    <row r="44" spans="1:2" x14ac:dyDescent="0.15">
      <c r="A44" s="6"/>
      <c r="B44" s="11" t="s">
        <v>98</v>
      </c>
    </row>
    <row r="45" spans="1:2" x14ac:dyDescent="0.15">
      <c r="A45" s="6"/>
      <c r="B45" s="6" t="s">
        <v>99</v>
      </c>
    </row>
    <row r="46" spans="1:2" x14ac:dyDescent="0.15">
      <c r="A46" s="6"/>
      <c r="B46" s="6" t="s">
        <v>258</v>
      </c>
    </row>
    <row r="47" spans="1:2" x14ac:dyDescent="0.15">
      <c r="A47" s="12"/>
      <c r="B47" s="12" t="s">
        <v>104</v>
      </c>
    </row>
    <row r="48" spans="1:2" x14ac:dyDescent="0.15">
      <c r="A48" s="12"/>
      <c r="B48" s="12" t="s">
        <v>100</v>
      </c>
    </row>
    <row r="49" spans="1:2" x14ac:dyDescent="0.15">
      <c r="A49" s="12"/>
      <c r="B49" s="12" t="s">
        <v>103</v>
      </c>
    </row>
    <row r="50" spans="1:2" x14ac:dyDescent="0.15">
      <c r="A50" s="12"/>
      <c r="B50" s="13" t="s">
        <v>101</v>
      </c>
    </row>
    <row r="51" spans="1:2" x14ac:dyDescent="0.15">
      <c r="A51" s="12"/>
      <c r="B51" s="13" t="s">
        <v>102</v>
      </c>
    </row>
    <row r="52" spans="1:2" x14ac:dyDescent="0.15">
      <c r="A52" s="12"/>
      <c r="B52" s="12" t="s">
        <v>256</v>
      </c>
    </row>
    <row r="53" spans="1:2" x14ac:dyDescent="0.15">
      <c r="B53" s="2" t="s">
        <v>257</v>
      </c>
    </row>
    <row r="54" spans="1:2" x14ac:dyDescent="0.15">
      <c r="B54" s="2" t="s">
        <v>274</v>
      </c>
    </row>
    <row r="55" spans="1:2" x14ac:dyDescent="0.15">
      <c r="B55" s="2" t="s">
        <v>275</v>
      </c>
    </row>
    <row r="56" spans="1:2" x14ac:dyDescent="0.15">
      <c r="B56" s="2" t="s">
        <v>273</v>
      </c>
    </row>
    <row r="57" spans="1:2" x14ac:dyDescent="0.15">
      <c r="B57" s="2" t="s">
        <v>305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84"/>
  <sheetViews>
    <sheetView workbookViewId="0">
      <pane ySplit="4" topLeftCell="A5" activePane="bottomLeft" state="frozenSplit"/>
      <selection pane="bottomLeft" activeCell="B7" sqref="B7"/>
    </sheetView>
  </sheetViews>
  <sheetFormatPr defaultColWidth="9" defaultRowHeight="13.5" x14ac:dyDescent="0.15"/>
  <cols>
    <col min="1" max="1" width="10" bestFit="1" customWidth="1"/>
    <col min="2" max="3" width="16.125" customWidth="1"/>
    <col min="4" max="4" width="17.125" bestFit="1" customWidth="1"/>
    <col min="5" max="5" width="24.75" customWidth="1"/>
    <col min="6" max="9" width="16.125" customWidth="1"/>
    <col min="10" max="10" width="35" bestFit="1" customWidth="1"/>
    <col min="11" max="11" width="23.375" customWidth="1"/>
  </cols>
  <sheetData>
    <row r="1" spans="1:27" s="18" customFormat="1" ht="12" customHeight="1" x14ac:dyDescent="0.15">
      <c r="A1" s="17"/>
      <c r="B1" s="18" t="s">
        <v>302</v>
      </c>
      <c r="C1" s="17"/>
      <c r="X1" s="19"/>
    </row>
    <row r="2" spans="1:27" s="22" customFormat="1" ht="12" customHeight="1" x14ac:dyDescent="0.15">
      <c r="A2" s="20" t="s">
        <v>21</v>
      </c>
      <c r="B2" s="21" t="s">
        <v>22</v>
      </c>
      <c r="C2" s="21" t="s">
        <v>27</v>
      </c>
      <c r="D2" s="21" t="s">
        <v>28</v>
      </c>
      <c r="E2" s="21" t="s">
        <v>45</v>
      </c>
      <c r="F2" s="21" t="s">
        <v>29</v>
      </c>
      <c r="G2" s="21" t="s">
        <v>30</v>
      </c>
      <c r="H2" s="21" t="s">
        <v>31</v>
      </c>
      <c r="I2" s="21" t="s">
        <v>32</v>
      </c>
      <c r="J2" s="21" t="s">
        <v>23</v>
      </c>
      <c r="K2" s="21" t="s">
        <v>33</v>
      </c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s="25" customFormat="1" ht="12" customHeight="1" x14ac:dyDescent="0.15">
      <c r="A3" s="23" t="s">
        <v>303</v>
      </c>
      <c r="B3" s="24" t="s">
        <v>304</v>
      </c>
      <c r="C3" s="24" t="s">
        <v>24</v>
      </c>
      <c r="D3" s="24" t="s">
        <v>34</v>
      </c>
      <c r="E3" s="24" t="s">
        <v>45</v>
      </c>
      <c r="F3" s="24" t="s">
        <v>24</v>
      </c>
      <c r="G3" s="24" t="s">
        <v>24</v>
      </c>
      <c r="H3" s="24" t="s">
        <v>24</v>
      </c>
      <c r="I3" s="24" t="s">
        <v>34</v>
      </c>
      <c r="J3" s="24" t="s">
        <v>25</v>
      </c>
      <c r="K3" s="24" t="s">
        <v>24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x14ac:dyDescent="0.15">
      <c r="A4" t="s">
        <v>35</v>
      </c>
      <c r="B4" t="s">
        <v>36</v>
      </c>
      <c r="C4" t="s">
        <v>37</v>
      </c>
      <c r="D4" t="s">
        <v>38</v>
      </c>
      <c r="E4" s="7" t="s">
        <v>46</v>
      </c>
      <c r="F4" t="s">
        <v>39</v>
      </c>
      <c r="G4" t="s">
        <v>40</v>
      </c>
      <c r="H4" t="s">
        <v>41</v>
      </c>
      <c r="I4" t="s">
        <v>42</v>
      </c>
      <c r="J4" t="s">
        <v>26</v>
      </c>
      <c r="K4" t="s">
        <v>43</v>
      </c>
    </row>
    <row r="5" spans="1:27" x14ac:dyDescent="0.15">
      <c r="A5" s="8">
        <v>101000</v>
      </c>
      <c r="B5" s="9">
        <v>0</v>
      </c>
      <c r="C5" s="8">
        <v>0</v>
      </c>
      <c r="D5" s="10" t="str">
        <f>"quest_name_"&amp;表1[[#This Row],[任务ID]]</f>
        <v>quest_name_101000</v>
      </c>
      <c r="E5" s="10" t="str">
        <f>VLOOKUP(表1[[#This Row],[任务名称]],[1]!表1_8[#Data],2,FALSE)</f>
        <v>捕获任意鱼1000条</v>
      </c>
      <c r="F5" s="9">
        <v>1</v>
      </c>
      <c r="G5" s="9">
        <v>0</v>
      </c>
      <c r="H5" s="9">
        <v>1000</v>
      </c>
      <c r="I5">
        <v>0</v>
      </c>
      <c r="J5" s="7" t="s">
        <v>295</v>
      </c>
      <c r="K5" s="2">
        <v>0</v>
      </c>
    </row>
    <row r="6" spans="1:27" x14ac:dyDescent="0.15">
      <c r="A6" s="8">
        <v>102000</v>
      </c>
      <c r="B6" s="9">
        <v>0</v>
      </c>
      <c r="C6" s="8">
        <v>0</v>
      </c>
      <c r="D6" s="10" t="str">
        <f>"quest_name_"&amp;表1[[#This Row],[任务ID]]</f>
        <v>quest_name_102000</v>
      </c>
      <c r="E6" s="10" t="str">
        <f>VLOOKUP(表1[[#This Row],[任务名称]],[1]!表1_8[#Data],2,FALSE)</f>
        <v>点击炮台使用5次激光</v>
      </c>
      <c r="F6" s="9">
        <v>2</v>
      </c>
      <c r="G6" s="9">
        <v>4</v>
      </c>
      <c r="H6" s="9">
        <v>5</v>
      </c>
      <c r="I6">
        <v>0</v>
      </c>
      <c r="J6" s="7" t="s">
        <v>293</v>
      </c>
      <c r="K6" s="2">
        <v>0</v>
      </c>
    </row>
    <row r="7" spans="1:27" x14ac:dyDescent="0.15">
      <c r="A7" s="14">
        <v>128000</v>
      </c>
      <c r="B7" s="15">
        <v>0</v>
      </c>
      <c r="C7" s="14">
        <v>0</v>
      </c>
      <c r="D7" s="10" t="str">
        <f>"quest_name_"&amp;表1[[#This Row],[任务ID]]</f>
        <v>quest_name_128000</v>
      </c>
      <c r="E7" s="16" t="str">
        <f>VLOOKUP(表1[[#This Row],[任务名称]],[1]!表1_8[#Data],2,FALSE)</f>
        <v>在排位赛中获得3次胜利</v>
      </c>
      <c r="F7" s="15">
        <v>28</v>
      </c>
      <c r="G7" s="15">
        <v>0</v>
      </c>
      <c r="H7" s="15">
        <v>3</v>
      </c>
      <c r="I7">
        <v>0</v>
      </c>
      <c r="J7" s="7" t="s">
        <v>296</v>
      </c>
      <c r="K7" s="2">
        <v>0</v>
      </c>
    </row>
    <row r="8" spans="1:27" x14ac:dyDescent="0.15">
      <c r="A8" s="8">
        <v>107000</v>
      </c>
      <c r="B8" s="9">
        <v>0</v>
      </c>
      <c r="C8" s="8">
        <v>0</v>
      </c>
      <c r="D8" s="10" t="str">
        <f>"quest_name_"&amp;表1[[#This Row],[任务ID]]</f>
        <v>quest_name_107000</v>
      </c>
      <c r="E8" s="10" t="str">
        <f>VLOOKUP(表1[[#This Row],[任务名称]],[1]!表1_8[#Data],2,FALSE)</f>
        <v>单次开炮捕获10条鱼</v>
      </c>
      <c r="F8" s="9">
        <v>7</v>
      </c>
      <c r="G8" s="9">
        <v>0</v>
      </c>
      <c r="H8" s="9">
        <v>10</v>
      </c>
      <c r="I8">
        <v>0</v>
      </c>
      <c r="J8" s="7" t="s">
        <v>293</v>
      </c>
      <c r="K8" s="2">
        <v>0</v>
      </c>
    </row>
    <row r="9" spans="1:27" x14ac:dyDescent="0.15">
      <c r="A9" s="8">
        <v>110000</v>
      </c>
      <c r="B9" s="9">
        <v>0</v>
      </c>
      <c r="C9" s="8">
        <v>0</v>
      </c>
      <c r="D9" s="10" t="str">
        <f>"quest_name_"&amp;表1[[#This Row],[任务ID]]</f>
        <v>quest_name_110000</v>
      </c>
      <c r="E9" s="10" t="str">
        <f>VLOOKUP(表1[[#This Row],[任务名称]],[1]!表1_8[#Data],2,FALSE)</f>
        <v>消耗钻石50</v>
      </c>
      <c r="F9" s="9">
        <v>10</v>
      </c>
      <c r="G9" s="9">
        <v>0</v>
      </c>
      <c r="H9" s="9">
        <v>50</v>
      </c>
      <c r="I9">
        <v>0</v>
      </c>
      <c r="J9" s="7" t="s">
        <v>301</v>
      </c>
      <c r="K9" s="2">
        <v>0</v>
      </c>
    </row>
    <row r="10" spans="1:27" x14ac:dyDescent="0.15">
      <c r="A10" s="8">
        <v>120000</v>
      </c>
      <c r="B10" s="9">
        <v>0</v>
      </c>
      <c r="C10" s="8">
        <v>0</v>
      </c>
      <c r="D10" s="10" t="str">
        <f>"quest_name_"&amp;表1[[#This Row],[任务ID]]</f>
        <v>quest_name_120000</v>
      </c>
      <c r="E10" s="10" t="str">
        <f>VLOOKUP(表1[[#This Row],[任务名称]],[1]!表1_8[#Data],2,FALSE)</f>
        <v>参与保卫女神1次</v>
      </c>
      <c r="F10" s="9">
        <v>20</v>
      </c>
      <c r="G10" s="9">
        <v>0</v>
      </c>
      <c r="H10" s="9">
        <v>1</v>
      </c>
      <c r="I10">
        <v>0</v>
      </c>
      <c r="J10" t="s">
        <v>293</v>
      </c>
      <c r="K10" s="2">
        <v>0</v>
      </c>
    </row>
    <row r="11" spans="1:27" x14ac:dyDescent="0.15">
      <c r="A11" s="8">
        <v>121000</v>
      </c>
      <c r="B11" s="9">
        <v>0</v>
      </c>
      <c r="C11" s="8">
        <v>0</v>
      </c>
      <c r="D11" s="10" t="str">
        <f>"quest_name_"&amp;表1[[#This Row],[任务ID]]</f>
        <v>quest_name_121000</v>
      </c>
      <c r="E11" s="10" t="str">
        <f>VLOOKUP(表1[[#This Row],[任务名称]],[1]!表1_8[#Data],2,FALSE)</f>
        <v>在水族馆放养3次鱼</v>
      </c>
      <c r="F11" s="9">
        <v>21</v>
      </c>
      <c r="G11" s="9">
        <v>0</v>
      </c>
      <c r="H11" s="9">
        <v>3</v>
      </c>
      <c r="I11">
        <v>0</v>
      </c>
      <c r="J11" t="s">
        <v>293</v>
      </c>
      <c r="K11" s="2">
        <v>0</v>
      </c>
    </row>
    <row r="12" spans="1:27" x14ac:dyDescent="0.15">
      <c r="A12" s="8">
        <v>118000</v>
      </c>
      <c r="B12" s="9">
        <v>0</v>
      </c>
      <c r="C12" s="8">
        <v>0</v>
      </c>
      <c r="D12" s="10" t="str">
        <f>"quest_name_"&amp;表1[[#This Row],[任务ID]]</f>
        <v>quest_name_118000</v>
      </c>
      <c r="E12" s="10" t="str">
        <f>VLOOKUP(表1[[#This Row],[任务名称]],[1]!表1_8[#Data],2,FALSE)</f>
        <v>购买1次金币</v>
      </c>
      <c r="F12" s="9">
        <v>18</v>
      </c>
      <c r="G12" s="9">
        <v>0</v>
      </c>
      <c r="H12" s="9">
        <v>1</v>
      </c>
      <c r="I12">
        <v>0</v>
      </c>
      <c r="J12" s="7" t="s">
        <v>293</v>
      </c>
      <c r="K12" s="2">
        <v>0</v>
      </c>
    </row>
    <row r="13" spans="1:27" x14ac:dyDescent="0.15">
      <c r="A13" s="8">
        <v>119000</v>
      </c>
      <c r="B13" s="9">
        <v>0</v>
      </c>
      <c r="C13" s="8">
        <v>0</v>
      </c>
      <c r="D13" s="10" t="str">
        <f>"quest_name_"&amp;表1[[#This Row],[任务ID]]</f>
        <v>quest_name_119000</v>
      </c>
      <c r="E13" s="10" t="str">
        <f>VLOOKUP(表1[[#This Row],[任务名称]],[1]!表1_8[#Data],2,FALSE)</f>
        <v>充值任意钻石</v>
      </c>
      <c r="F13" s="9">
        <v>19</v>
      </c>
      <c r="G13" s="9">
        <v>0</v>
      </c>
      <c r="H13" s="9">
        <v>1</v>
      </c>
      <c r="I13">
        <v>0</v>
      </c>
      <c r="J13" t="s">
        <v>294</v>
      </c>
      <c r="K13" s="2">
        <v>0</v>
      </c>
    </row>
    <row r="14" spans="1:27" x14ac:dyDescent="0.15">
      <c r="A14" s="8">
        <v>111000</v>
      </c>
      <c r="B14" s="9">
        <v>0</v>
      </c>
      <c r="C14" s="8">
        <v>0</v>
      </c>
      <c r="D14" s="10" t="str">
        <f>"quest_name_"&amp;表1[[#This Row],[任务ID]]</f>
        <v>quest_name_111000</v>
      </c>
      <c r="E14" s="10" t="str">
        <f>VLOOKUP(表1[[#This Row],[任务名称]],[1]!表1_8[#Data],2,FALSE)</f>
        <v>消耗金币100000</v>
      </c>
      <c r="F14" s="9">
        <v>11</v>
      </c>
      <c r="G14" s="9">
        <v>0</v>
      </c>
      <c r="H14" s="9">
        <v>100000</v>
      </c>
      <c r="I14">
        <v>0</v>
      </c>
      <c r="J14" t="s">
        <v>293</v>
      </c>
      <c r="K14" s="2">
        <v>0</v>
      </c>
    </row>
    <row r="15" spans="1:27" x14ac:dyDescent="0.15">
      <c r="A15" s="8">
        <v>217000</v>
      </c>
      <c r="B15" s="9">
        <v>1</v>
      </c>
      <c r="C15" s="8">
        <v>217001</v>
      </c>
      <c r="D15" s="10" t="str">
        <f>"quest_name_"&amp;表1[[#This Row],[任务ID]]</f>
        <v>quest_name_217000</v>
      </c>
      <c r="E15" s="10" t="str">
        <f>VLOOKUP(表1[[#This Row],[任务名称]],[1]!表1_8[#Data],2,FALSE)</f>
        <v>获得200点成就点</v>
      </c>
      <c r="F15" s="9">
        <v>17</v>
      </c>
      <c r="G15" s="9">
        <v>0</v>
      </c>
      <c r="H15" s="9">
        <v>200</v>
      </c>
      <c r="I15">
        <v>0</v>
      </c>
      <c r="J15" t="s">
        <v>244</v>
      </c>
      <c r="K15" s="2">
        <v>0</v>
      </c>
    </row>
    <row r="16" spans="1:27" x14ac:dyDescent="0.15">
      <c r="A16" s="8">
        <v>217001</v>
      </c>
      <c r="B16" s="9">
        <v>1</v>
      </c>
      <c r="C16" s="8">
        <v>217002</v>
      </c>
      <c r="D16" s="10" t="str">
        <f>"quest_name_"&amp;表1[[#This Row],[任务ID]]</f>
        <v>quest_name_217001</v>
      </c>
      <c r="E16" s="10" t="str">
        <f>VLOOKUP(表1[[#This Row],[任务名称]],[1]!表1_8[#Data],2,FALSE)</f>
        <v>获得400点成就点</v>
      </c>
      <c r="F16" s="9">
        <v>17</v>
      </c>
      <c r="G16" s="9">
        <v>0</v>
      </c>
      <c r="H16" s="9">
        <v>400</v>
      </c>
      <c r="I16">
        <v>0</v>
      </c>
      <c r="J16" t="s">
        <v>245</v>
      </c>
      <c r="K16" s="2">
        <v>0</v>
      </c>
    </row>
    <row r="17" spans="1:11" x14ac:dyDescent="0.15">
      <c r="A17" s="8">
        <v>217002</v>
      </c>
      <c r="B17" s="9">
        <v>1</v>
      </c>
      <c r="C17" s="8">
        <v>217003</v>
      </c>
      <c r="D17" s="10" t="str">
        <f>"quest_name_"&amp;表1[[#This Row],[任务ID]]</f>
        <v>quest_name_217002</v>
      </c>
      <c r="E17" s="10" t="str">
        <f>VLOOKUP(表1[[#This Row],[任务名称]],[1]!表1_8[#Data],2,FALSE)</f>
        <v>获得800点成就点</v>
      </c>
      <c r="F17" s="9">
        <v>17</v>
      </c>
      <c r="G17" s="9">
        <v>0</v>
      </c>
      <c r="H17" s="9">
        <v>800</v>
      </c>
      <c r="I17">
        <v>0</v>
      </c>
      <c r="J17" t="s">
        <v>246</v>
      </c>
      <c r="K17" s="2">
        <v>0</v>
      </c>
    </row>
    <row r="18" spans="1:11" x14ac:dyDescent="0.15">
      <c r="A18" s="8">
        <v>217003</v>
      </c>
      <c r="B18" s="9">
        <v>1</v>
      </c>
      <c r="C18" s="8">
        <v>217004</v>
      </c>
      <c r="D18" s="10" t="str">
        <f>"quest_name_"&amp;表1[[#This Row],[任务ID]]</f>
        <v>quest_name_217003</v>
      </c>
      <c r="E18" s="10" t="str">
        <f>VLOOKUP(表1[[#This Row],[任务名称]],[1]!表1_8[#Data],2,FALSE)</f>
        <v>获得1200点成就点</v>
      </c>
      <c r="F18" s="9">
        <v>17</v>
      </c>
      <c r="G18" s="9">
        <v>0</v>
      </c>
      <c r="H18" s="9">
        <v>1200</v>
      </c>
      <c r="I18">
        <v>0</v>
      </c>
      <c r="J18" t="s">
        <v>247</v>
      </c>
      <c r="K18" s="2">
        <v>0</v>
      </c>
    </row>
    <row r="19" spans="1:11" x14ac:dyDescent="0.15">
      <c r="A19" s="8">
        <v>217004</v>
      </c>
      <c r="B19" s="9">
        <v>1</v>
      </c>
      <c r="C19" s="8">
        <v>217005</v>
      </c>
      <c r="D19" s="10" t="str">
        <f>"quest_name_"&amp;表1[[#This Row],[任务ID]]</f>
        <v>quest_name_217004</v>
      </c>
      <c r="E19" s="10" t="str">
        <f>VLOOKUP(表1[[#This Row],[任务名称]],[1]!表1_8[#Data],2,FALSE)</f>
        <v>获得2000点成就点</v>
      </c>
      <c r="F19" s="9">
        <v>17</v>
      </c>
      <c r="G19" s="9">
        <v>0</v>
      </c>
      <c r="H19" s="9">
        <v>2000</v>
      </c>
      <c r="I19">
        <v>0</v>
      </c>
      <c r="J19" t="s">
        <v>248</v>
      </c>
      <c r="K19" s="2">
        <v>0</v>
      </c>
    </row>
    <row r="20" spans="1:11" x14ac:dyDescent="0.15">
      <c r="A20" s="8">
        <v>217005</v>
      </c>
      <c r="B20" s="9">
        <v>1</v>
      </c>
      <c r="C20" s="8">
        <v>217006</v>
      </c>
      <c r="D20" s="10" t="str">
        <f>"quest_name_"&amp;表1[[#This Row],[任务ID]]</f>
        <v>quest_name_217005</v>
      </c>
      <c r="E20" s="10" t="str">
        <f>VLOOKUP(表1[[#This Row],[任务名称]],[1]!表1_8[#Data],2,FALSE)</f>
        <v>获得3000点成就点</v>
      </c>
      <c r="F20" s="9">
        <v>17</v>
      </c>
      <c r="G20" s="9">
        <v>0</v>
      </c>
      <c r="H20" s="9">
        <v>3000</v>
      </c>
      <c r="I20">
        <v>0</v>
      </c>
      <c r="J20" t="s">
        <v>249</v>
      </c>
      <c r="K20" s="2">
        <v>0</v>
      </c>
    </row>
    <row r="21" spans="1:11" x14ac:dyDescent="0.15">
      <c r="A21" s="8">
        <v>217006</v>
      </c>
      <c r="B21" s="9">
        <v>1</v>
      </c>
      <c r="C21" s="8">
        <v>217007</v>
      </c>
      <c r="D21" s="10" t="str">
        <f>"quest_name_"&amp;表1[[#This Row],[任务ID]]</f>
        <v>quest_name_217006</v>
      </c>
      <c r="E21" s="10" t="str">
        <f>VLOOKUP(表1[[#This Row],[任务名称]],[1]!表1_8[#Data],2,FALSE)</f>
        <v>获得4000点成就点</v>
      </c>
      <c r="F21" s="9">
        <v>17</v>
      </c>
      <c r="G21" s="9">
        <v>0</v>
      </c>
      <c r="H21" s="9">
        <v>4000</v>
      </c>
      <c r="I21">
        <v>0</v>
      </c>
      <c r="J21" t="s">
        <v>250</v>
      </c>
      <c r="K21" s="2">
        <v>0</v>
      </c>
    </row>
    <row r="22" spans="1:11" x14ac:dyDescent="0.15">
      <c r="A22" s="8">
        <v>217007</v>
      </c>
      <c r="B22" s="9">
        <v>1</v>
      </c>
      <c r="C22" s="8">
        <v>217008</v>
      </c>
      <c r="D22" s="10" t="str">
        <f>"quest_name_"&amp;表1[[#This Row],[任务ID]]</f>
        <v>quest_name_217007</v>
      </c>
      <c r="E22" s="10" t="str">
        <f>VLOOKUP(表1[[#This Row],[任务名称]],[1]!表1_8[#Data],2,FALSE)</f>
        <v>获得5000点成就点</v>
      </c>
      <c r="F22" s="9">
        <v>17</v>
      </c>
      <c r="G22" s="9">
        <v>0</v>
      </c>
      <c r="H22" s="9">
        <v>5000</v>
      </c>
      <c r="I22">
        <v>0</v>
      </c>
      <c r="J22" t="s">
        <v>251</v>
      </c>
      <c r="K22" s="2">
        <v>0</v>
      </c>
    </row>
    <row r="23" spans="1:11" x14ac:dyDescent="0.15">
      <c r="A23" s="8">
        <v>217008</v>
      </c>
      <c r="B23" s="9">
        <v>1</v>
      </c>
      <c r="C23" s="8">
        <v>217009</v>
      </c>
      <c r="D23" s="10" t="str">
        <f>"quest_name_"&amp;表1[[#This Row],[任务ID]]</f>
        <v>quest_name_217008</v>
      </c>
      <c r="E23" s="10" t="str">
        <f>VLOOKUP(表1[[#This Row],[任务名称]],[1]!表1_8[#Data],2,FALSE)</f>
        <v>获得6000点成就点</v>
      </c>
      <c r="F23" s="9">
        <v>17</v>
      </c>
      <c r="G23" s="9">
        <v>0</v>
      </c>
      <c r="H23" s="9">
        <v>6000</v>
      </c>
      <c r="I23">
        <v>0</v>
      </c>
      <c r="J23" t="s">
        <v>252</v>
      </c>
      <c r="K23" s="2">
        <v>0</v>
      </c>
    </row>
    <row r="24" spans="1:11" x14ac:dyDescent="0.15">
      <c r="A24" s="8">
        <v>217009</v>
      </c>
      <c r="B24" s="9">
        <v>1</v>
      </c>
      <c r="C24" s="8">
        <v>217010</v>
      </c>
      <c r="D24" s="10" t="str">
        <f>"quest_name_"&amp;表1[[#This Row],[任务ID]]</f>
        <v>quest_name_217009</v>
      </c>
      <c r="E24" s="10" t="str">
        <f>VLOOKUP(表1[[#This Row],[任务名称]],[1]!表1_8[#Data],2,FALSE)</f>
        <v>获得7000点成就点</v>
      </c>
      <c r="F24" s="9">
        <v>17</v>
      </c>
      <c r="G24" s="9">
        <v>0</v>
      </c>
      <c r="H24" s="9">
        <v>7000</v>
      </c>
      <c r="I24">
        <v>0</v>
      </c>
      <c r="J24" t="s">
        <v>253</v>
      </c>
      <c r="K24" s="2">
        <v>0</v>
      </c>
    </row>
    <row r="25" spans="1:11" x14ac:dyDescent="0.15">
      <c r="A25" s="8">
        <v>217010</v>
      </c>
      <c r="B25" s="9">
        <v>1</v>
      </c>
      <c r="C25" s="14">
        <v>217011</v>
      </c>
      <c r="D25" s="10" t="str">
        <f>"quest_name_"&amp;表1[[#This Row],[任务ID]]</f>
        <v>quest_name_217010</v>
      </c>
      <c r="E25" s="16" t="str">
        <f>VLOOKUP(表1[[#This Row],[任务名称]],[1]!表1_8[#Data],2,FALSE)</f>
        <v>获得8000点成就点</v>
      </c>
      <c r="F25" s="9">
        <v>17</v>
      </c>
      <c r="G25" s="15">
        <v>0</v>
      </c>
      <c r="H25" s="15">
        <v>8000</v>
      </c>
      <c r="I25">
        <v>0</v>
      </c>
      <c r="J25" t="s">
        <v>254</v>
      </c>
      <c r="K25" s="2">
        <v>0</v>
      </c>
    </row>
    <row r="26" spans="1:11" x14ac:dyDescent="0.15">
      <c r="A26" s="8">
        <v>217011</v>
      </c>
      <c r="B26" s="9">
        <v>1</v>
      </c>
      <c r="C26" s="14">
        <v>217012</v>
      </c>
      <c r="D26" s="10" t="str">
        <f>"quest_name_"&amp;表1[[#This Row],[任务ID]]</f>
        <v>quest_name_217011</v>
      </c>
      <c r="E26" s="16" t="str">
        <f>VLOOKUP(表1[[#This Row],[任务名称]],[1]!表1_8[#Data],2,FALSE)</f>
        <v>获得9000点成就点</v>
      </c>
      <c r="F26" s="9">
        <v>17</v>
      </c>
      <c r="G26" s="15">
        <v>0</v>
      </c>
      <c r="H26" s="15">
        <v>9000</v>
      </c>
      <c r="I26">
        <v>0</v>
      </c>
      <c r="J26" t="s">
        <v>233</v>
      </c>
      <c r="K26" s="2">
        <v>0</v>
      </c>
    </row>
    <row r="27" spans="1:11" x14ac:dyDescent="0.15">
      <c r="A27" s="8">
        <v>217012</v>
      </c>
      <c r="B27" s="9">
        <v>1</v>
      </c>
      <c r="C27" s="14">
        <v>0</v>
      </c>
      <c r="D27" s="10" t="str">
        <f>"quest_name_"&amp;表1[[#This Row],[任务ID]]</f>
        <v>quest_name_217012</v>
      </c>
      <c r="E27" s="16" t="str">
        <f>VLOOKUP(表1[[#This Row],[任务名称]],[1]!表1_8[#Data],2,FALSE)</f>
        <v>获得10000点成就点</v>
      </c>
      <c r="F27" s="9">
        <v>17</v>
      </c>
      <c r="G27" s="15">
        <v>0</v>
      </c>
      <c r="H27" s="15">
        <v>10000</v>
      </c>
      <c r="I27">
        <v>0</v>
      </c>
      <c r="J27" t="s">
        <v>255</v>
      </c>
      <c r="K27" s="2">
        <v>0</v>
      </c>
    </row>
    <row r="28" spans="1:11" x14ac:dyDescent="0.15">
      <c r="A28" s="8">
        <v>201000</v>
      </c>
      <c r="B28" s="9">
        <v>1</v>
      </c>
      <c r="C28" s="8">
        <v>201001</v>
      </c>
      <c r="D28" s="10" t="str">
        <f>"quest_name_"&amp;表1[[#This Row],[任务ID]]</f>
        <v>quest_name_201000</v>
      </c>
      <c r="E28" s="10" t="str">
        <f>VLOOKUP(表1[[#This Row],[任务名称]],[1]!表1_8[#Data],2,FALSE)</f>
        <v>捕获灯笼鱼BOSS达到1条</v>
      </c>
      <c r="F28" s="9">
        <v>1</v>
      </c>
      <c r="G28" s="9">
        <v>21</v>
      </c>
      <c r="H28" s="9">
        <v>1</v>
      </c>
      <c r="I28">
        <v>0</v>
      </c>
      <c r="J28" t="s">
        <v>105</v>
      </c>
      <c r="K28" s="2">
        <v>0</v>
      </c>
    </row>
    <row r="29" spans="1:11" x14ac:dyDescent="0.15">
      <c r="A29" s="8">
        <v>201001</v>
      </c>
      <c r="B29" s="9">
        <v>1</v>
      </c>
      <c r="C29" s="8">
        <v>201002</v>
      </c>
      <c r="D29" s="10" t="str">
        <f>"quest_name_"&amp;表1[[#This Row],[任务ID]]</f>
        <v>quest_name_201001</v>
      </c>
      <c r="E29" s="10" t="str">
        <f>VLOOKUP(表1[[#This Row],[任务名称]],[1]!表1_8[#Data],2,FALSE)</f>
        <v>捕获灯笼鱼BOSS达到5条</v>
      </c>
      <c r="F29" s="9">
        <v>1</v>
      </c>
      <c r="G29" s="9">
        <v>21</v>
      </c>
      <c r="H29" s="9">
        <v>5</v>
      </c>
      <c r="I29">
        <v>0</v>
      </c>
      <c r="J29" t="s">
        <v>106</v>
      </c>
      <c r="K29" s="2">
        <v>0</v>
      </c>
    </row>
    <row r="30" spans="1:11" x14ac:dyDescent="0.15">
      <c r="A30" s="8">
        <v>201002</v>
      </c>
      <c r="B30" s="9">
        <v>1</v>
      </c>
      <c r="C30" s="8">
        <v>201003</v>
      </c>
      <c r="D30" s="10" t="str">
        <f>"quest_name_"&amp;表1[[#This Row],[任务ID]]</f>
        <v>quest_name_201002</v>
      </c>
      <c r="E30" s="10" t="str">
        <f>VLOOKUP(表1[[#This Row],[任务名称]],[1]!表1_8[#Data],2,FALSE)</f>
        <v>捕获灯笼鱼BOSS达到10条</v>
      </c>
      <c r="F30" s="9">
        <v>1</v>
      </c>
      <c r="G30" s="9">
        <v>21</v>
      </c>
      <c r="H30" s="9">
        <v>10</v>
      </c>
      <c r="I30">
        <v>0</v>
      </c>
      <c r="J30" t="s">
        <v>107</v>
      </c>
      <c r="K30" s="2">
        <v>0</v>
      </c>
    </row>
    <row r="31" spans="1:11" x14ac:dyDescent="0.15">
      <c r="A31" s="8">
        <v>201003</v>
      </c>
      <c r="B31" s="9">
        <v>1</v>
      </c>
      <c r="C31" s="8">
        <v>201004</v>
      </c>
      <c r="D31" s="10" t="str">
        <f>"quest_name_"&amp;表1[[#This Row],[任务ID]]</f>
        <v>quest_name_201003</v>
      </c>
      <c r="E31" s="10" t="str">
        <f>VLOOKUP(表1[[#This Row],[任务名称]],[1]!表1_8[#Data],2,FALSE)</f>
        <v>捕获灯笼鱼BOSS达到20条</v>
      </c>
      <c r="F31" s="9">
        <v>1</v>
      </c>
      <c r="G31" s="9">
        <v>21</v>
      </c>
      <c r="H31" s="9">
        <v>20</v>
      </c>
      <c r="I31">
        <v>0</v>
      </c>
      <c r="J31" t="s">
        <v>108</v>
      </c>
      <c r="K31" s="2">
        <v>0</v>
      </c>
    </row>
    <row r="32" spans="1:11" x14ac:dyDescent="0.15">
      <c r="A32" s="8">
        <v>201004</v>
      </c>
      <c r="B32" s="9">
        <v>1</v>
      </c>
      <c r="C32" s="8">
        <v>201005</v>
      </c>
      <c r="D32" s="10" t="str">
        <f>"quest_name_"&amp;表1[[#This Row],[任务ID]]</f>
        <v>quest_name_201004</v>
      </c>
      <c r="E32" s="10" t="str">
        <f>VLOOKUP(表1[[#This Row],[任务名称]],[1]!表1_8[#Data],2,FALSE)</f>
        <v>捕获灯笼鱼BOSS达到30条</v>
      </c>
      <c r="F32" s="9">
        <v>1</v>
      </c>
      <c r="G32" s="9">
        <v>21</v>
      </c>
      <c r="H32" s="9">
        <v>30</v>
      </c>
      <c r="I32">
        <v>0</v>
      </c>
      <c r="J32" t="s">
        <v>109</v>
      </c>
      <c r="K32" s="2">
        <v>0</v>
      </c>
    </row>
    <row r="33" spans="1:11" x14ac:dyDescent="0.15">
      <c r="A33" s="8">
        <v>201005</v>
      </c>
      <c r="B33" s="9">
        <v>1</v>
      </c>
      <c r="C33" s="8">
        <v>201006</v>
      </c>
      <c r="D33" s="10" t="str">
        <f>"quest_name_"&amp;表1[[#This Row],[任务ID]]</f>
        <v>quest_name_201005</v>
      </c>
      <c r="E33" s="10" t="str">
        <f>VLOOKUP(表1[[#This Row],[任务名称]],[1]!表1_8[#Data],2,FALSE)</f>
        <v>捕获灯笼鱼BOSS达到40条</v>
      </c>
      <c r="F33" s="9">
        <v>1</v>
      </c>
      <c r="G33" s="9">
        <v>21</v>
      </c>
      <c r="H33" s="9">
        <v>40</v>
      </c>
      <c r="I33">
        <v>0</v>
      </c>
      <c r="J33" t="s">
        <v>110</v>
      </c>
      <c r="K33" s="2">
        <v>0</v>
      </c>
    </row>
    <row r="34" spans="1:11" x14ac:dyDescent="0.15">
      <c r="A34" s="8">
        <v>201006</v>
      </c>
      <c r="B34" s="9">
        <v>1</v>
      </c>
      <c r="C34" s="8">
        <v>201007</v>
      </c>
      <c r="D34" s="10" t="str">
        <f>"quest_name_"&amp;表1[[#This Row],[任务ID]]</f>
        <v>quest_name_201006</v>
      </c>
      <c r="E34" s="10" t="str">
        <f>VLOOKUP(表1[[#This Row],[任务名称]],[1]!表1_8[#Data],2,FALSE)</f>
        <v>捕获灯笼鱼BOSS达到50条</v>
      </c>
      <c r="F34" s="9">
        <v>1</v>
      </c>
      <c r="G34" s="9">
        <v>21</v>
      </c>
      <c r="H34" s="9">
        <v>50</v>
      </c>
      <c r="I34">
        <v>0</v>
      </c>
      <c r="J34" t="s">
        <v>111</v>
      </c>
      <c r="K34" s="2">
        <v>0</v>
      </c>
    </row>
    <row r="35" spans="1:11" x14ac:dyDescent="0.15">
      <c r="A35" s="8">
        <v>201007</v>
      </c>
      <c r="B35" s="9">
        <v>1</v>
      </c>
      <c r="C35" s="8">
        <v>201008</v>
      </c>
      <c r="D35" s="10" t="str">
        <f>"quest_name_"&amp;表1[[#This Row],[任务ID]]</f>
        <v>quest_name_201007</v>
      </c>
      <c r="E35" s="10" t="str">
        <f>VLOOKUP(表1[[#This Row],[任务名称]],[1]!表1_8[#Data],2,FALSE)</f>
        <v>捕获灯笼鱼BOSS达到60条</v>
      </c>
      <c r="F35" s="9">
        <v>1</v>
      </c>
      <c r="G35" s="9">
        <v>21</v>
      </c>
      <c r="H35" s="9">
        <v>60</v>
      </c>
      <c r="I35">
        <v>0</v>
      </c>
      <c r="J35" t="s">
        <v>112</v>
      </c>
      <c r="K35" s="2">
        <v>0</v>
      </c>
    </row>
    <row r="36" spans="1:11" x14ac:dyDescent="0.15">
      <c r="A36" s="8">
        <v>201008</v>
      </c>
      <c r="B36" s="9">
        <v>1</v>
      </c>
      <c r="C36" s="8">
        <v>201009</v>
      </c>
      <c r="D36" s="10" t="str">
        <f>"quest_name_"&amp;表1[[#This Row],[任务ID]]</f>
        <v>quest_name_201008</v>
      </c>
      <c r="E36" s="10" t="str">
        <f>VLOOKUP(表1[[#This Row],[任务名称]],[1]!表1_8[#Data],2,FALSE)</f>
        <v>捕获灯笼鱼BOSS达到80条</v>
      </c>
      <c r="F36" s="9">
        <v>1</v>
      </c>
      <c r="G36" s="9">
        <v>21</v>
      </c>
      <c r="H36" s="9">
        <v>80</v>
      </c>
      <c r="I36">
        <v>0</v>
      </c>
      <c r="J36" t="s">
        <v>113</v>
      </c>
      <c r="K36" s="2">
        <v>0</v>
      </c>
    </row>
    <row r="37" spans="1:11" x14ac:dyDescent="0.15">
      <c r="A37" s="8">
        <v>201009</v>
      </c>
      <c r="B37" s="9">
        <v>1</v>
      </c>
      <c r="C37" s="8">
        <v>201010</v>
      </c>
      <c r="D37" s="10" t="str">
        <f>"quest_name_"&amp;表1[[#This Row],[任务ID]]</f>
        <v>quest_name_201009</v>
      </c>
      <c r="E37" s="10" t="str">
        <f>VLOOKUP(表1[[#This Row],[任务名称]],[1]!表1_8[#Data],2,FALSE)</f>
        <v>捕获灯笼鱼BOSS达到100条</v>
      </c>
      <c r="F37" s="9">
        <v>1</v>
      </c>
      <c r="G37" s="9">
        <v>21</v>
      </c>
      <c r="H37" s="9">
        <v>100</v>
      </c>
      <c r="I37">
        <v>0</v>
      </c>
      <c r="J37" t="s">
        <v>114</v>
      </c>
      <c r="K37" s="2">
        <v>0</v>
      </c>
    </row>
    <row r="38" spans="1:11" x14ac:dyDescent="0.15">
      <c r="A38" s="8">
        <v>201010</v>
      </c>
      <c r="B38" s="9">
        <v>1</v>
      </c>
      <c r="C38" s="8">
        <v>201011</v>
      </c>
      <c r="D38" s="10" t="str">
        <f>"quest_name_"&amp;表1[[#This Row],[任务ID]]</f>
        <v>quest_name_201010</v>
      </c>
      <c r="E38" s="10" t="str">
        <f>VLOOKUP(表1[[#This Row],[任务名称]],[1]!表1_8[#Data],2,FALSE)</f>
        <v>捕获灯笼鱼BOSS达到200条</v>
      </c>
      <c r="F38" s="9">
        <v>1</v>
      </c>
      <c r="G38" s="9">
        <v>21</v>
      </c>
      <c r="H38" s="9">
        <v>200</v>
      </c>
      <c r="I38">
        <v>0</v>
      </c>
      <c r="J38" t="s">
        <v>115</v>
      </c>
      <c r="K38" s="2">
        <v>0</v>
      </c>
    </row>
    <row r="39" spans="1:11" x14ac:dyDescent="0.15">
      <c r="A39" s="8">
        <v>201011</v>
      </c>
      <c r="B39" s="9">
        <v>1</v>
      </c>
      <c r="C39" s="8">
        <v>201012</v>
      </c>
      <c r="D39" s="10" t="str">
        <f>"quest_name_"&amp;表1[[#This Row],[任务ID]]</f>
        <v>quest_name_201011</v>
      </c>
      <c r="E39" s="10" t="str">
        <f>VLOOKUP(表1[[#This Row],[任务名称]],[1]!表1_8[#Data],2,FALSE)</f>
        <v>捕获灯笼鱼BOSS达到400条</v>
      </c>
      <c r="F39" s="9">
        <v>1</v>
      </c>
      <c r="G39" s="9">
        <v>21</v>
      </c>
      <c r="H39" s="9">
        <v>400</v>
      </c>
      <c r="I39">
        <v>0</v>
      </c>
      <c r="J39" t="s">
        <v>116</v>
      </c>
      <c r="K39" s="2">
        <v>0</v>
      </c>
    </row>
    <row r="40" spans="1:11" x14ac:dyDescent="0.15">
      <c r="A40" s="8">
        <v>201012</v>
      </c>
      <c r="B40" s="9">
        <v>1</v>
      </c>
      <c r="C40" s="8">
        <v>201013</v>
      </c>
      <c r="D40" s="10" t="str">
        <f>"quest_name_"&amp;表1[[#This Row],[任务ID]]</f>
        <v>quest_name_201012</v>
      </c>
      <c r="E40" s="10" t="str">
        <f>VLOOKUP(表1[[#This Row],[任务名称]],[1]!表1_8[#Data],2,FALSE)</f>
        <v>捕获灯笼鱼BOSS达到600条</v>
      </c>
      <c r="F40" s="9">
        <v>1</v>
      </c>
      <c r="G40" s="9">
        <v>21</v>
      </c>
      <c r="H40" s="9">
        <v>600</v>
      </c>
      <c r="I40">
        <v>0</v>
      </c>
      <c r="J40" t="s">
        <v>117</v>
      </c>
      <c r="K40" s="2">
        <v>0</v>
      </c>
    </row>
    <row r="41" spans="1:11" x14ac:dyDescent="0.15">
      <c r="A41" s="8">
        <v>201013</v>
      </c>
      <c r="B41" s="9">
        <v>1</v>
      </c>
      <c r="C41" s="8">
        <v>201014</v>
      </c>
      <c r="D41" s="10" t="str">
        <f>"quest_name_"&amp;表1[[#This Row],[任务ID]]</f>
        <v>quest_name_201013</v>
      </c>
      <c r="E41" s="10" t="str">
        <f>VLOOKUP(表1[[#This Row],[任务名称]],[1]!表1_8[#Data],2,FALSE)</f>
        <v>捕获灯笼鱼BOSS达到800条</v>
      </c>
      <c r="F41" s="9">
        <v>1</v>
      </c>
      <c r="G41" s="9">
        <v>21</v>
      </c>
      <c r="H41" s="9">
        <v>800</v>
      </c>
      <c r="I41">
        <v>0</v>
      </c>
      <c r="J41" t="s">
        <v>118</v>
      </c>
      <c r="K41" s="2">
        <v>0</v>
      </c>
    </row>
    <row r="42" spans="1:11" x14ac:dyDescent="0.15">
      <c r="A42" s="8">
        <v>201014</v>
      </c>
      <c r="B42" s="9">
        <v>1</v>
      </c>
      <c r="C42" s="8">
        <v>201015</v>
      </c>
      <c r="D42" s="10" t="str">
        <f>"quest_name_"&amp;表1[[#This Row],[任务ID]]</f>
        <v>quest_name_201014</v>
      </c>
      <c r="E42" s="10" t="str">
        <f>VLOOKUP(表1[[#This Row],[任务名称]],[1]!表1_8[#Data],2,FALSE)</f>
        <v>捕获灯笼鱼BOSS达到1000条</v>
      </c>
      <c r="F42" s="9">
        <v>1</v>
      </c>
      <c r="G42" s="9">
        <v>21</v>
      </c>
      <c r="H42" s="9">
        <v>1000</v>
      </c>
      <c r="I42">
        <v>0</v>
      </c>
      <c r="J42" t="s">
        <v>119</v>
      </c>
      <c r="K42" s="2">
        <v>0</v>
      </c>
    </row>
    <row r="43" spans="1:11" x14ac:dyDescent="0.15">
      <c r="A43" s="8">
        <v>201015</v>
      </c>
      <c r="B43" s="9">
        <v>1</v>
      </c>
      <c r="C43" s="8">
        <v>0</v>
      </c>
      <c r="D43" s="10" t="str">
        <f>"quest_name_"&amp;表1[[#This Row],[任务ID]]</f>
        <v>quest_name_201015</v>
      </c>
      <c r="E43" s="10" t="str">
        <f>VLOOKUP(表1[[#This Row],[任务名称]],[1]!表1_8[#Data],2,FALSE)</f>
        <v>捕获灯笼鱼BOSS达到10000条</v>
      </c>
      <c r="F43" s="9">
        <v>1</v>
      </c>
      <c r="G43" s="9">
        <v>21</v>
      </c>
      <c r="H43" s="9">
        <v>10000</v>
      </c>
      <c r="I43">
        <v>0</v>
      </c>
      <c r="J43" t="s">
        <v>120</v>
      </c>
      <c r="K43" s="2">
        <v>0</v>
      </c>
    </row>
    <row r="44" spans="1:11" x14ac:dyDescent="0.15">
      <c r="A44" s="8">
        <v>201100</v>
      </c>
      <c r="B44" s="9">
        <v>1</v>
      </c>
      <c r="C44" s="8">
        <v>201101</v>
      </c>
      <c r="D44" s="10" t="str">
        <f>"quest_name_"&amp;表1[[#This Row],[任务ID]]</f>
        <v>quest_name_201100</v>
      </c>
      <c r="E44" s="10" t="str">
        <f>VLOOKUP(表1[[#This Row],[任务名称]],[1]!表1_8[#Data],2,FALSE)</f>
        <v>捕获美人鱼BOSS达到1条</v>
      </c>
      <c r="F44" s="9">
        <v>1</v>
      </c>
      <c r="G44" s="9">
        <v>22</v>
      </c>
      <c r="H44" s="9">
        <v>1</v>
      </c>
      <c r="I44">
        <v>0</v>
      </c>
      <c r="J44" t="s">
        <v>105</v>
      </c>
      <c r="K44" s="2">
        <v>0</v>
      </c>
    </row>
    <row r="45" spans="1:11" x14ac:dyDescent="0.15">
      <c r="A45" s="8">
        <v>201101</v>
      </c>
      <c r="B45" s="9">
        <v>1</v>
      </c>
      <c r="C45" s="8">
        <v>201102</v>
      </c>
      <c r="D45" s="10" t="str">
        <f>"quest_name_"&amp;表1[[#This Row],[任务ID]]</f>
        <v>quest_name_201101</v>
      </c>
      <c r="E45" s="10" t="str">
        <f>VLOOKUP(表1[[#This Row],[任务名称]],[1]!表1_8[#Data],2,FALSE)</f>
        <v>捕获美人鱼BOSS达到5条</v>
      </c>
      <c r="F45" s="9">
        <v>1</v>
      </c>
      <c r="G45" s="9">
        <v>22</v>
      </c>
      <c r="H45" s="9">
        <v>5</v>
      </c>
      <c r="I45">
        <v>0</v>
      </c>
      <c r="J45" t="s">
        <v>106</v>
      </c>
      <c r="K45" s="2">
        <v>0</v>
      </c>
    </row>
    <row r="46" spans="1:11" x14ac:dyDescent="0.15">
      <c r="A46" s="8">
        <v>201102</v>
      </c>
      <c r="B46" s="9">
        <v>1</v>
      </c>
      <c r="C46" s="8">
        <v>201103</v>
      </c>
      <c r="D46" s="10" t="str">
        <f>"quest_name_"&amp;表1[[#This Row],[任务ID]]</f>
        <v>quest_name_201102</v>
      </c>
      <c r="E46" s="10" t="str">
        <f>VLOOKUP(表1[[#This Row],[任务名称]],[1]!表1_8[#Data],2,FALSE)</f>
        <v>捕获美人鱼BOSS达到10条</v>
      </c>
      <c r="F46" s="9">
        <v>1</v>
      </c>
      <c r="G46" s="9">
        <v>22</v>
      </c>
      <c r="H46" s="9">
        <v>10</v>
      </c>
      <c r="I46">
        <v>0</v>
      </c>
      <c r="J46" t="s">
        <v>107</v>
      </c>
      <c r="K46" s="2">
        <v>0</v>
      </c>
    </row>
    <row r="47" spans="1:11" x14ac:dyDescent="0.15">
      <c r="A47" s="8">
        <v>201103</v>
      </c>
      <c r="B47" s="9">
        <v>1</v>
      </c>
      <c r="C47" s="8">
        <v>201104</v>
      </c>
      <c r="D47" s="10" t="str">
        <f>"quest_name_"&amp;表1[[#This Row],[任务ID]]</f>
        <v>quest_name_201103</v>
      </c>
      <c r="E47" s="10" t="str">
        <f>VLOOKUP(表1[[#This Row],[任务名称]],[1]!表1_8[#Data],2,FALSE)</f>
        <v>捕获美人鱼BOSS达到20条</v>
      </c>
      <c r="F47" s="9">
        <v>1</v>
      </c>
      <c r="G47" s="9">
        <v>22</v>
      </c>
      <c r="H47" s="9">
        <v>20</v>
      </c>
      <c r="I47">
        <v>0</v>
      </c>
      <c r="J47" t="s">
        <v>108</v>
      </c>
      <c r="K47" s="2">
        <v>0</v>
      </c>
    </row>
    <row r="48" spans="1:11" x14ac:dyDescent="0.15">
      <c r="A48" s="8">
        <v>201104</v>
      </c>
      <c r="B48" s="9">
        <v>1</v>
      </c>
      <c r="C48" s="8">
        <v>201105</v>
      </c>
      <c r="D48" s="10" t="str">
        <f>"quest_name_"&amp;表1[[#This Row],[任务ID]]</f>
        <v>quest_name_201104</v>
      </c>
      <c r="E48" s="10" t="str">
        <f>VLOOKUP(表1[[#This Row],[任务名称]],[1]!表1_8[#Data],2,FALSE)</f>
        <v>捕获美人鱼BOSS达到30条</v>
      </c>
      <c r="F48" s="9">
        <v>1</v>
      </c>
      <c r="G48" s="9">
        <v>22</v>
      </c>
      <c r="H48" s="9">
        <v>30</v>
      </c>
      <c r="I48">
        <v>0</v>
      </c>
      <c r="J48" t="s">
        <v>109</v>
      </c>
      <c r="K48" s="2">
        <v>0</v>
      </c>
    </row>
    <row r="49" spans="1:11" x14ac:dyDescent="0.15">
      <c r="A49" s="8">
        <v>201105</v>
      </c>
      <c r="B49" s="9">
        <v>1</v>
      </c>
      <c r="C49" s="8">
        <v>201106</v>
      </c>
      <c r="D49" s="10" t="str">
        <f>"quest_name_"&amp;表1[[#This Row],[任务ID]]</f>
        <v>quest_name_201105</v>
      </c>
      <c r="E49" s="10" t="str">
        <f>VLOOKUP(表1[[#This Row],[任务名称]],[1]!表1_8[#Data],2,FALSE)</f>
        <v>捕获美人鱼BOSS达到40条</v>
      </c>
      <c r="F49" s="9">
        <v>1</v>
      </c>
      <c r="G49" s="9">
        <v>22</v>
      </c>
      <c r="H49" s="9">
        <v>40</v>
      </c>
      <c r="I49">
        <v>0</v>
      </c>
      <c r="J49" t="s">
        <v>110</v>
      </c>
      <c r="K49" s="2">
        <v>0</v>
      </c>
    </row>
    <row r="50" spans="1:11" x14ac:dyDescent="0.15">
      <c r="A50" s="8">
        <v>201106</v>
      </c>
      <c r="B50" s="9">
        <v>1</v>
      </c>
      <c r="C50" s="8">
        <v>201107</v>
      </c>
      <c r="D50" s="10" t="str">
        <f>"quest_name_"&amp;表1[[#This Row],[任务ID]]</f>
        <v>quest_name_201106</v>
      </c>
      <c r="E50" s="10" t="str">
        <f>VLOOKUP(表1[[#This Row],[任务名称]],[1]!表1_8[#Data],2,FALSE)</f>
        <v>捕获美人鱼BOSS达到50条</v>
      </c>
      <c r="F50" s="9">
        <v>1</v>
      </c>
      <c r="G50" s="9">
        <v>22</v>
      </c>
      <c r="H50" s="9">
        <v>50</v>
      </c>
      <c r="I50">
        <v>0</v>
      </c>
      <c r="J50" t="s">
        <v>111</v>
      </c>
      <c r="K50" s="2">
        <v>0</v>
      </c>
    </row>
    <row r="51" spans="1:11" x14ac:dyDescent="0.15">
      <c r="A51" s="8">
        <v>201107</v>
      </c>
      <c r="B51" s="9">
        <v>1</v>
      </c>
      <c r="C51" s="8">
        <v>201108</v>
      </c>
      <c r="D51" s="10" t="str">
        <f>"quest_name_"&amp;表1[[#This Row],[任务ID]]</f>
        <v>quest_name_201107</v>
      </c>
      <c r="E51" s="10" t="str">
        <f>VLOOKUP(表1[[#This Row],[任务名称]],[1]!表1_8[#Data],2,FALSE)</f>
        <v>捕获美人鱼BOSS达到60条</v>
      </c>
      <c r="F51" s="9">
        <v>1</v>
      </c>
      <c r="G51" s="9">
        <v>22</v>
      </c>
      <c r="H51" s="9">
        <v>60</v>
      </c>
      <c r="I51">
        <v>0</v>
      </c>
      <c r="J51" t="s">
        <v>112</v>
      </c>
      <c r="K51" s="2">
        <v>0</v>
      </c>
    </row>
    <row r="52" spans="1:11" x14ac:dyDescent="0.15">
      <c r="A52" s="8">
        <v>201108</v>
      </c>
      <c r="B52" s="9">
        <v>1</v>
      </c>
      <c r="C52" s="8">
        <v>201109</v>
      </c>
      <c r="D52" s="10" t="str">
        <f>"quest_name_"&amp;表1[[#This Row],[任务ID]]</f>
        <v>quest_name_201108</v>
      </c>
      <c r="E52" s="10" t="str">
        <f>VLOOKUP(表1[[#This Row],[任务名称]],[1]!表1_8[#Data],2,FALSE)</f>
        <v>捕获美人鱼BOSS达到80条</v>
      </c>
      <c r="F52" s="9">
        <v>1</v>
      </c>
      <c r="G52" s="9">
        <v>22</v>
      </c>
      <c r="H52" s="9">
        <v>80</v>
      </c>
      <c r="I52">
        <v>0</v>
      </c>
      <c r="J52" t="s">
        <v>113</v>
      </c>
      <c r="K52" s="2">
        <v>0</v>
      </c>
    </row>
    <row r="53" spans="1:11" x14ac:dyDescent="0.15">
      <c r="A53" s="8">
        <v>201109</v>
      </c>
      <c r="B53" s="9">
        <v>1</v>
      </c>
      <c r="C53" s="8">
        <v>201110</v>
      </c>
      <c r="D53" s="10" t="str">
        <f>"quest_name_"&amp;表1[[#This Row],[任务ID]]</f>
        <v>quest_name_201109</v>
      </c>
      <c r="E53" s="10" t="str">
        <f>VLOOKUP(表1[[#This Row],[任务名称]],[1]!表1_8[#Data],2,FALSE)</f>
        <v>捕获美人鱼BOSS达到100条</v>
      </c>
      <c r="F53" s="9">
        <v>1</v>
      </c>
      <c r="G53" s="9">
        <v>22</v>
      </c>
      <c r="H53" s="9">
        <v>100</v>
      </c>
      <c r="I53">
        <v>0</v>
      </c>
      <c r="J53" t="s">
        <v>114</v>
      </c>
      <c r="K53" s="2">
        <v>0</v>
      </c>
    </row>
    <row r="54" spans="1:11" x14ac:dyDescent="0.15">
      <c r="A54" s="8">
        <v>201110</v>
      </c>
      <c r="B54" s="9">
        <v>1</v>
      </c>
      <c r="C54" s="8">
        <v>201111</v>
      </c>
      <c r="D54" s="10" t="str">
        <f>"quest_name_"&amp;表1[[#This Row],[任务ID]]</f>
        <v>quest_name_201110</v>
      </c>
      <c r="E54" s="10" t="str">
        <f>VLOOKUP(表1[[#This Row],[任务名称]],[1]!表1_8[#Data],2,FALSE)</f>
        <v>捕获美人鱼BOSS达到200条</v>
      </c>
      <c r="F54" s="9">
        <v>1</v>
      </c>
      <c r="G54" s="9">
        <v>22</v>
      </c>
      <c r="H54" s="9">
        <v>200</v>
      </c>
      <c r="I54">
        <v>0</v>
      </c>
      <c r="J54" t="s">
        <v>115</v>
      </c>
      <c r="K54" s="2">
        <v>0</v>
      </c>
    </row>
    <row r="55" spans="1:11" x14ac:dyDescent="0.15">
      <c r="A55" s="8">
        <v>201111</v>
      </c>
      <c r="B55" s="9">
        <v>1</v>
      </c>
      <c r="C55" s="8">
        <v>201112</v>
      </c>
      <c r="D55" s="10" t="str">
        <f>"quest_name_"&amp;表1[[#This Row],[任务ID]]</f>
        <v>quest_name_201111</v>
      </c>
      <c r="E55" s="10" t="str">
        <f>VLOOKUP(表1[[#This Row],[任务名称]],[1]!表1_8[#Data],2,FALSE)</f>
        <v>捕获美人鱼BOSS达到400条</v>
      </c>
      <c r="F55" s="9">
        <v>1</v>
      </c>
      <c r="G55" s="9">
        <v>22</v>
      </c>
      <c r="H55" s="9">
        <v>400</v>
      </c>
      <c r="I55">
        <v>0</v>
      </c>
      <c r="J55" t="s">
        <v>116</v>
      </c>
      <c r="K55" s="2">
        <v>0</v>
      </c>
    </row>
    <row r="56" spans="1:11" x14ac:dyDescent="0.15">
      <c r="A56" s="8">
        <v>201112</v>
      </c>
      <c r="B56" s="9">
        <v>1</v>
      </c>
      <c r="C56" s="8">
        <v>201113</v>
      </c>
      <c r="D56" s="10" t="str">
        <f>"quest_name_"&amp;表1[[#This Row],[任务ID]]</f>
        <v>quest_name_201112</v>
      </c>
      <c r="E56" s="10" t="str">
        <f>VLOOKUP(表1[[#This Row],[任务名称]],[1]!表1_8[#Data],2,FALSE)</f>
        <v>捕获美人鱼BOSS达到600条</v>
      </c>
      <c r="F56" s="9">
        <v>1</v>
      </c>
      <c r="G56" s="9">
        <v>22</v>
      </c>
      <c r="H56" s="9">
        <v>600</v>
      </c>
      <c r="I56">
        <v>0</v>
      </c>
      <c r="J56" t="s">
        <v>117</v>
      </c>
      <c r="K56" s="2">
        <v>0</v>
      </c>
    </row>
    <row r="57" spans="1:11" x14ac:dyDescent="0.15">
      <c r="A57" s="8">
        <v>201113</v>
      </c>
      <c r="B57" s="9">
        <v>1</v>
      </c>
      <c r="C57" s="8">
        <v>201114</v>
      </c>
      <c r="D57" s="10" t="str">
        <f>"quest_name_"&amp;表1[[#This Row],[任务ID]]</f>
        <v>quest_name_201113</v>
      </c>
      <c r="E57" s="10" t="str">
        <f>VLOOKUP(表1[[#This Row],[任务名称]],[1]!表1_8[#Data],2,FALSE)</f>
        <v>捕获美人鱼BOSS达到800条</v>
      </c>
      <c r="F57" s="9">
        <v>1</v>
      </c>
      <c r="G57" s="9">
        <v>22</v>
      </c>
      <c r="H57" s="9">
        <v>800</v>
      </c>
      <c r="I57">
        <v>0</v>
      </c>
      <c r="J57" t="s">
        <v>118</v>
      </c>
      <c r="K57" s="2">
        <v>0</v>
      </c>
    </row>
    <row r="58" spans="1:11" x14ac:dyDescent="0.15">
      <c r="A58" s="8">
        <v>201114</v>
      </c>
      <c r="B58" s="9">
        <v>1</v>
      </c>
      <c r="C58" s="8">
        <v>201115</v>
      </c>
      <c r="D58" s="10" t="str">
        <f>"quest_name_"&amp;表1[[#This Row],[任务ID]]</f>
        <v>quest_name_201114</v>
      </c>
      <c r="E58" s="10" t="str">
        <f>VLOOKUP(表1[[#This Row],[任务名称]],[1]!表1_8[#Data],2,FALSE)</f>
        <v>捕获美人鱼BOSS达到1000条</v>
      </c>
      <c r="F58" s="9">
        <v>1</v>
      </c>
      <c r="G58" s="9">
        <v>22</v>
      </c>
      <c r="H58" s="9">
        <v>1000</v>
      </c>
      <c r="I58">
        <v>0</v>
      </c>
      <c r="J58" t="s">
        <v>119</v>
      </c>
      <c r="K58" s="2">
        <v>0</v>
      </c>
    </row>
    <row r="59" spans="1:11" x14ac:dyDescent="0.15">
      <c r="A59" s="8">
        <v>201115</v>
      </c>
      <c r="B59" s="9">
        <v>1</v>
      </c>
      <c r="C59" s="8">
        <v>0</v>
      </c>
      <c r="D59" s="10" t="str">
        <f>"quest_name_"&amp;表1[[#This Row],[任务ID]]</f>
        <v>quest_name_201115</v>
      </c>
      <c r="E59" s="10" t="str">
        <f>VLOOKUP(表1[[#This Row],[任务名称]],[1]!表1_8[#Data],2,FALSE)</f>
        <v>捕获美人鱼BOSS达到10000条</v>
      </c>
      <c r="F59" s="9">
        <v>1</v>
      </c>
      <c r="G59" s="9">
        <v>22</v>
      </c>
      <c r="H59" s="9">
        <v>10000</v>
      </c>
      <c r="I59">
        <v>0</v>
      </c>
      <c r="J59" t="s">
        <v>120</v>
      </c>
      <c r="K59" s="2">
        <v>0</v>
      </c>
    </row>
    <row r="60" spans="1:11" x14ac:dyDescent="0.15">
      <c r="A60" s="8">
        <v>201200</v>
      </c>
      <c r="B60" s="9">
        <v>1</v>
      </c>
      <c r="C60" s="8">
        <v>201201</v>
      </c>
      <c r="D60" s="10" t="str">
        <f>"quest_name_"&amp;表1[[#This Row],[任务ID]]</f>
        <v>quest_name_201200</v>
      </c>
      <c r="E60" s="10" t="str">
        <f>VLOOKUP(表1[[#This Row],[任务名称]],[1]!表1_8[#Data],2,FALSE)</f>
        <v>捕获章鱼BOSS达到1条</v>
      </c>
      <c r="F60" s="9">
        <v>1</v>
      </c>
      <c r="G60" s="9">
        <v>49</v>
      </c>
      <c r="H60" s="9">
        <v>1</v>
      </c>
      <c r="I60">
        <v>0</v>
      </c>
      <c r="J60" t="s">
        <v>105</v>
      </c>
      <c r="K60" s="2">
        <v>0</v>
      </c>
    </row>
    <row r="61" spans="1:11" x14ac:dyDescent="0.15">
      <c r="A61" s="8">
        <v>201201</v>
      </c>
      <c r="B61" s="9">
        <v>1</v>
      </c>
      <c r="C61" s="8">
        <v>201202</v>
      </c>
      <c r="D61" s="10" t="str">
        <f>"quest_name_"&amp;表1[[#This Row],[任务ID]]</f>
        <v>quest_name_201201</v>
      </c>
      <c r="E61" s="10" t="str">
        <f>VLOOKUP(表1[[#This Row],[任务名称]],[1]!表1_8[#Data],2,FALSE)</f>
        <v>捕获章鱼BOSS达到5条</v>
      </c>
      <c r="F61" s="9">
        <v>1</v>
      </c>
      <c r="G61" s="9">
        <v>49</v>
      </c>
      <c r="H61" s="9">
        <v>5</v>
      </c>
      <c r="I61">
        <v>0</v>
      </c>
      <c r="J61" t="s">
        <v>106</v>
      </c>
      <c r="K61" s="2">
        <v>0</v>
      </c>
    </row>
    <row r="62" spans="1:11" x14ac:dyDescent="0.15">
      <c r="A62" s="8">
        <v>201202</v>
      </c>
      <c r="B62" s="9">
        <v>1</v>
      </c>
      <c r="C62" s="8">
        <v>201203</v>
      </c>
      <c r="D62" s="10" t="str">
        <f>"quest_name_"&amp;表1[[#This Row],[任务ID]]</f>
        <v>quest_name_201202</v>
      </c>
      <c r="E62" s="10" t="str">
        <f>VLOOKUP(表1[[#This Row],[任务名称]],[1]!表1_8[#Data],2,FALSE)</f>
        <v>捕获章鱼BOSS达到10条</v>
      </c>
      <c r="F62" s="9">
        <v>1</v>
      </c>
      <c r="G62" s="9">
        <v>49</v>
      </c>
      <c r="H62" s="9">
        <v>10</v>
      </c>
      <c r="I62">
        <v>0</v>
      </c>
      <c r="J62" t="s">
        <v>107</v>
      </c>
      <c r="K62" s="2">
        <v>0</v>
      </c>
    </row>
    <row r="63" spans="1:11" x14ac:dyDescent="0.15">
      <c r="A63" s="8">
        <v>201203</v>
      </c>
      <c r="B63" s="9">
        <v>1</v>
      </c>
      <c r="C63" s="8">
        <v>201204</v>
      </c>
      <c r="D63" s="10" t="str">
        <f>"quest_name_"&amp;表1[[#This Row],[任务ID]]</f>
        <v>quest_name_201203</v>
      </c>
      <c r="E63" s="10" t="str">
        <f>VLOOKUP(表1[[#This Row],[任务名称]],[1]!表1_8[#Data],2,FALSE)</f>
        <v>捕获章鱼BOSS达到20条</v>
      </c>
      <c r="F63" s="9">
        <v>1</v>
      </c>
      <c r="G63" s="9">
        <v>49</v>
      </c>
      <c r="H63" s="9">
        <v>20</v>
      </c>
      <c r="I63">
        <v>0</v>
      </c>
      <c r="J63" t="s">
        <v>108</v>
      </c>
      <c r="K63" s="2">
        <v>0</v>
      </c>
    </row>
    <row r="64" spans="1:11" x14ac:dyDescent="0.15">
      <c r="A64" s="8">
        <v>201204</v>
      </c>
      <c r="B64" s="9">
        <v>1</v>
      </c>
      <c r="C64" s="8">
        <v>201205</v>
      </c>
      <c r="D64" s="10" t="str">
        <f>"quest_name_"&amp;表1[[#This Row],[任务ID]]</f>
        <v>quest_name_201204</v>
      </c>
      <c r="E64" s="10" t="str">
        <f>VLOOKUP(表1[[#This Row],[任务名称]],[1]!表1_8[#Data],2,FALSE)</f>
        <v>捕获章鱼BOSS达到30条</v>
      </c>
      <c r="F64" s="9">
        <v>1</v>
      </c>
      <c r="G64" s="9">
        <v>49</v>
      </c>
      <c r="H64" s="9">
        <v>30</v>
      </c>
      <c r="I64">
        <v>0</v>
      </c>
      <c r="J64" t="s">
        <v>109</v>
      </c>
      <c r="K64" s="2">
        <v>0</v>
      </c>
    </row>
    <row r="65" spans="1:11" x14ac:dyDescent="0.15">
      <c r="A65" s="8">
        <v>201205</v>
      </c>
      <c r="B65" s="9">
        <v>1</v>
      </c>
      <c r="C65" s="8">
        <v>201206</v>
      </c>
      <c r="D65" s="10" t="str">
        <f>"quest_name_"&amp;表1[[#This Row],[任务ID]]</f>
        <v>quest_name_201205</v>
      </c>
      <c r="E65" s="10" t="str">
        <f>VLOOKUP(表1[[#This Row],[任务名称]],[1]!表1_8[#Data],2,FALSE)</f>
        <v>捕获章鱼BOSS达到40条</v>
      </c>
      <c r="F65" s="9">
        <v>1</v>
      </c>
      <c r="G65" s="9">
        <v>49</v>
      </c>
      <c r="H65" s="9">
        <v>40</v>
      </c>
      <c r="I65">
        <v>0</v>
      </c>
      <c r="J65" t="s">
        <v>110</v>
      </c>
      <c r="K65" s="2">
        <v>0</v>
      </c>
    </row>
    <row r="66" spans="1:11" x14ac:dyDescent="0.15">
      <c r="A66" s="8">
        <v>201206</v>
      </c>
      <c r="B66" s="9">
        <v>1</v>
      </c>
      <c r="C66" s="8">
        <v>201207</v>
      </c>
      <c r="D66" s="10" t="str">
        <f>"quest_name_"&amp;表1[[#This Row],[任务ID]]</f>
        <v>quest_name_201206</v>
      </c>
      <c r="E66" s="10" t="str">
        <f>VLOOKUP(表1[[#This Row],[任务名称]],[1]!表1_8[#Data],2,FALSE)</f>
        <v>捕获章鱼BOSS达到50条</v>
      </c>
      <c r="F66" s="9">
        <v>1</v>
      </c>
      <c r="G66" s="9">
        <v>49</v>
      </c>
      <c r="H66" s="9">
        <v>50</v>
      </c>
      <c r="I66">
        <v>0</v>
      </c>
      <c r="J66" t="s">
        <v>111</v>
      </c>
      <c r="K66" s="2">
        <v>0</v>
      </c>
    </row>
    <row r="67" spans="1:11" x14ac:dyDescent="0.15">
      <c r="A67" s="8">
        <v>201207</v>
      </c>
      <c r="B67" s="9">
        <v>1</v>
      </c>
      <c r="C67" s="8">
        <v>201208</v>
      </c>
      <c r="D67" s="10" t="str">
        <f>"quest_name_"&amp;表1[[#This Row],[任务ID]]</f>
        <v>quest_name_201207</v>
      </c>
      <c r="E67" s="10" t="str">
        <f>VLOOKUP(表1[[#This Row],[任务名称]],[1]!表1_8[#Data],2,FALSE)</f>
        <v>捕获章鱼BOSS达到60条</v>
      </c>
      <c r="F67" s="9">
        <v>1</v>
      </c>
      <c r="G67" s="9">
        <v>49</v>
      </c>
      <c r="H67" s="9">
        <v>60</v>
      </c>
      <c r="I67">
        <v>0</v>
      </c>
      <c r="J67" t="s">
        <v>112</v>
      </c>
      <c r="K67" s="2">
        <v>0</v>
      </c>
    </row>
    <row r="68" spans="1:11" x14ac:dyDescent="0.15">
      <c r="A68" s="8">
        <v>201208</v>
      </c>
      <c r="B68" s="9">
        <v>1</v>
      </c>
      <c r="C68" s="8">
        <v>201209</v>
      </c>
      <c r="D68" s="10" t="str">
        <f>"quest_name_"&amp;表1[[#This Row],[任务ID]]</f>
        <v>quest_name_201208</v>
      </c>
      <c r="E68" s="10" t="str">
        <f>VLOOKUP(表1[[#This Row],[任务名称]],[1]!表1_8[#Data],2,FALSE)</f>
        <v>捕获章鱼BOSS达到80条</v>
      </c>
      <c r="F68" s="9">
        <v>1</v>
      </c>
      <c r="G68" s="9">
        <v>49</v>
      </c>
      <c r="H68" s="9">
        <v>80</v>
      </c>
      <c r="I68">
        <v>0</v>
      </c>
      <c r="J68" t="s">
        <v>113</v>
      </c>
      <c r="K68" s="2">
        <v>0</v>
      </c>
    </row>
    <row r="69" spans="1:11" x14ac:dyDescent="0.15">
      <c r="A69" s="8">
        <v>201209</v>
      </c>
      <c r="B69" s="9">
        <v>1</v>
      </c>
      <c r="C69" s="8">
        <v>201210</v>
      </c>
      <c r="D69" s="10" t="str">
        <f>"quest_name_"&amp;表1[[#This Row],[任务ID]]</f>
        <v>quest_name_201209</v>
      </c>
      <c r="E69" s="10" t="str">
        <f>VLOOKUP(表1[[#This Row],[任务名称]],[1]!表1_8[#Data],2,FALSE)</f>
        <v>捕获章鱼BOSS达到100条</v>
      </c>
      <c r="F69" s="9">
        <v>1</v>
      </c>
      <c r="G69" s="9">
        <v>49</v>
      </c>
      <c r="H69" s="9">
        <v>100</v>
      </c>
      <c r="I69">
        <v>0</v>
      </c>
      <c r="J69" t="s">
        <v>114</v>
      </c>
      <c r="K69" s="2">
        <v>0</v>
      </c>
    </row>
    <row r="70" spans="1:11" x14ac:dyDescent="0.15">
      <c r="A70" s="8">
        <v>201210</v>
      </c>
      <c r="B70" s="9">
        <v>1</v>
      </c>
      <c r="C70" s="8">
        <v>201211</v>
      </c>
      <c r="D70" s="10" t="str">
        <f>"quest_name_"&amp;表1[[#This Row],[任务ID]]</f>
        <v>quest_name_201210</v>
      </c>
      <c r="E70" s="10" t="str">
        <f>VLOOKUP(表1[[#This Row],[任务名称]],[1]!表1_8[#Data],2,FALSE)</f>
        <v>捕获章鱼BOSS达到200条</v>
      </c>
      <c r="F70" s="9">
        <v>1</v>
      </c>
      <c r="G70" s="9">
        <v>49</v>
      </c>
      <c r="H70" s="9">
        <v>200</v>
      </c>
      <c r="I70">
        <v>0</v>
      </c>
      <c r="J70" t="s">
        <v>115</v>
      </c>
      <c r="K70" s="2">
        <v>0</v>
      </c>
    </row>
    <row r="71" spans="1:11" x14ac:dyDescent="0.15">
      <c r="A71" s="8">
        <v>201211</v>
      </c>
      <c r="B71" s="9">
        <v>1</v>
      </c>
      <c r="C71" s="8">
        <v>201212</v>
      </c>
      <c r="D71" s="10" t="str">
        <f>"quest_name_"&amp;表1[[#This Row],[任务ID]]</f>
        <v>quest_name_201211</v>
      </c>
      <c r="E71" s="10" t="str">
        <f>VLOOKUP(表1[[#This Row],[任务名称]],[1]!表1_8[#Data],2,FALSE)</f>
        <v>捕获章鱼BOSS达到400条</v>
      </c>
      <c r="F71" s="9">
        <v>1</v>
      </c>
      <c r="G71" s="9">
        <v>49</v>
      </c>
      <c r="H71" s="9">
        <v>400</v>
      </c>
      <c r="I71">
        <v>0</v>
      </c>
      <c r="J71" t="s">
        <v>116</v>
      </c>
      <c r="K71" s="2">
        <v>0</v>
      </c>
    </row>
    <row r="72" spans="1:11" x14ac:dyDescent="0.15">
      <c r="A72" s="8">
        <v>201212</v>
      </c>
      <c r="B72" s="9">
        <v>1</v>
      </c>
      <c r="C72" s="8">
        <v>201213</v>
      </c>
      <c r="D72" s="10" t="str">
        <f>"quest_name_"&amp;表1[[#This Row],[任务ID]]</f>
        <v>quest_name_201212</v>
      </c>
      <c r="E72" s="10" t="str">
        <f>VLOOKUP(表1[[#This Row],[任务名称]],[1]!表1_8[#Data],2,FALSE)</f>
        <v>捕获章鱼BOSS达到600条</v>
      </c>
      <c r="F72" s="9">
        <v>1</v>
      </c>
      <c r="G72" s="9">
        <v>49</v>
      </c>
      <c r="H72" s="9">
        <v>600</v>
      </c>
      <c r="I72">
        <v>0</v>
      </c>
      <c r="J72" t="s">
        <v>117</v>
      </c>
      <c r="K72" s="2">
        <v>0</v>
      </c>
    </row>
    <row r="73" spans="1:11" x14ac:dyDescent="0.15">
      <c r="A73" s="8">
        <v>201213</v>
      </c>
      <c r="B73" s="9">
        <v>1</v>
      </c>
      <c r="C73" s="8">
        <v>201214</v>
      </c>
      <c r="D73" s="10" t="str">
        <f>"quest_name_"&amp;表1[[#This Row],[任务ID]]</f>
        <v>quest_name_201213</v>
      </c>
      <c r="E73" s="10" t="str">
        <f>VLOOKUP(表1[[#This Row],[任务名称]],[1]!表1_8[#Data],2,FALSE)</f>
        <v>捕获章鱼BOSS达到800条</v>
      </c>
      <c r="F73" s="9">
        <v>1</v>
      </c>
      <c r="G73" s="9">
        <v>49</v>
      </c>
      <c r="H73" s="9">
        <v>800</v>
      </c>
      <c r="I73">
        <v>0</v>
      </c>
      <c r="J73" t="s">
        <v>118</v>
      </c>
      <c r="K73" s="2">
        <v>0</v>
      </c>
    </row>
    <row r="74" spans="1:11" x14ac:dyDescent="0.15">
      <c r="A74" s="8">
        <v>201214</v>
      </c>
      <c r="B74" s="9">
        <v>1</v>
      </c>
      <c r="C74" s="8">
        <v>201215</v>
      </c>
      <c r="D74" s="10" t="str">
        <f>"quest_name_"&amp;表1[[#This Row],[任务ID]]</f>
        <v>quest_name_201214</v>
      </c>
      <c r="E74" s="10" t="str">
        <f>VLOOKUP(表1[[#This Row],[任务名称]],[1]!表1_8[#Data],2,FALSE)</f>
        <v>捕获章鱼BOSS达到1000条</v>
      </c>
      <c r="F74" s="9">
        <v>1</v>
      </c>
      <c r="G74" s="9">
        <v>49</v>
      </c>
      <c r="H74" s="9">
        <v>1000</v>
      </c>
      <c r="I74">
        <v>0</v>
      </c>
      <c r="J74" t="s">
        <v>119</v>
      </c>
      <c r="K74" s="2">
        <v>0</v>
      </c>
    </row>
    <row r="75" spans="1:11" x14ac:dyDescent="0.15">
      <c r="A75" s="8">
        <v>201215</v>
      </c>
      <c r="B75" s="9">
        <v>1</v>
      </c>
      <c r="C75" s="8">
        <v>0</v>
      </c>
      <c r="D75" s="10" t="str">
        <f>"quest_name_"&amp;表1[[#This Row],[任务ID]]</f>
        <v>quest_name_201215</v>
      </c>
      <c r="E75" s="10" t="str">
        <f>VLOOKUP(表1[[#This Row],[任务名称]],[1]!表1_8[#Data],2,FALSE)</f>
        <v>捕获章鱼BOSS达到10000条</v>
      </c>
      <c r="F75" s="9">
        <v>1</v>
      </c>
      <c r="G75" s="9">
        <v>49</v>
      </c>
      <c r="H75" s="9">
        <v>10000</v>
      </c>
      <c r="I75">
        <v>0</v>
      </c>
      <c r="J75" t="s">
        <v>120</v>
      </c>
      <c r="K75" s="2">
        <v>0</v>
      </c>
    </row>
    <row r="76" spans="1:11" x14ac:dyDescent="0.15">
      <c r="A76" s="14">
        <v>201300</v>
      </c>
      <c r="B76" s="15">
        <v>1</v>
      </c>
      <c r="C76" s="14">
        <v>201301</v>
      </c>
      <c r="D76" s="10" t="str">
        <f>"quest_name_"&amp;表1[[#This Row],[任务ID]]</f>
        <v>quest_name_201300</v>
      </c>
      <c r="E76" s="16" t="str">
        <f>VLOOKUP(表1[[#This Row],[任务名称]],[1]!表1_8[#Data],2,FALSE)</f>
        <v>捕获宝箱鱼达到5条</v>
      </c>
      <c r="F76" s="15">
        <v>1</v>
      </c>
      <c r="G76" s="15">
        <v>52</v>
      </c>
      <c r="H76" s="15">
        <v>5</v>
      </c>
      <c r="I76">
        <v>0</v>
      </c>
      <c r="J76" t="s">
        <v>105</v>
      </c>
      <c r="K76" s="2">
        <v>0</v>
      </c>
    </row>
    <row r="77" spans="1:11" x14ac:dyDescent="0.15">
      <c r="A77" s="14">
        <v>201301</v>
      </c>
      <c r="B77" s="15">
        <v>1</v>
      </c>
      <c r="C77" s="14">
        <v>201302</v>
      </c>
      <c r="D77" s="10" t="str">
        <f>"quest_name_"&amp;表1[[#This Row],[任务ID]]</f>
        <v>quest_name_201301</v>
      </c>
      <c r="E77" s="16" t="str">
        <f>VLOOKUP(表1[[#This Row],[任务名称]],[1]!表1_8[#Data],2,FALSE)</f>
        <v>捕获宝箱鱼达到20条</v>
      </c>
      <c r="F77" s="15">
        <v>1</v>
      </c>
      <c r="G77" s="15">
        <v>52</v>
      </c>
      <c r="H77" s="15">
        <v>20</v>
      </c>
      <c r="I77">
        <v>0</v>
      </c>
      <c r="J77" t="s">
        <v>121</v>
      </c>
      <c r="K77" s="2">
        <v>0</v>
      </c>
    </row>
    <row r="78" spans="1:11" x14ac:dyDescent="0.15">
      <c r="A78" s="14">
        <v>201302</v>
      </c>
      <c r="B78" s="15">
        <v>1</v>
      </c>
      <c r="C78" s="14">
        <v>201303</v>
      </c>
      <c r="D78" s="10" t="str">
        <f>"quest_name_"&amp;表1[[#This Row],[任务ID]]</f>
        <v>quest_name_201302</v>
      </c>
      <c r="E78" s="16" t="str">
        <f>VLOOKUP(表1[[#This Row],[任务名称]],[1]!表1_8[#Data],2,FALSE)</f>
        <v>捕获宝箱鱼达到40条</v>
      </c>
      <c r="F78" s="15">
        <v>1</v>
      </c>
      <c r="G78" s="15">
        <v>52</v>
      </c>
      <c r="H78" s="15">
        <v>40</v>
      </c>
      <c r="I78">
        <v>0</v>
      </c>
      <c r="J78" t="s">
        <v>122</v>
      </c>
      <c r="K78" s="2">
        <v>0</v>
      </c>
    </row>
    <row r="79" spans="1:11" x14ac:dyDescent="0.15">
      <c r="A79" s="14">
        <v>201303</v>
      </c>
      <c r="B79" s="15">
        <v>1</v>
      </c>
      <c r="C79" s="14">
        <v>201304</v>
      </c>
      <c r="D79" s="10" t="str">
        <f>"quest_name_"&amp;表1[[#This Row],[任务ID]]</f>
        <v>quest_name_201303</v>
      </c>
      <c r="E79" s="16" t="str">
        <f>VLOOKUP(表1[[#This Row],[任务名称]],[1]!表1_8[#Data],2,FALSE)</f>
        <v>捕获宝箱鱼达到80条</v>
      </c>
      <c r="F79" s="15">
        <v>1</v>
      </c>
      <c r="G79" s="15">
        <v>52</v>
      </c>
      <c r="H79" s="15">
        <v>80</v>
      </c>
      <c r="I79">
        <v>0</v>
      </c>
      <c r="J79" t="s">
        <v>123</v>
      </c>
      <c r="K79" s="2">
        <v>0</v>
      </c>
    </row>
    <row r="80" spans="1:11" x14ac:dyDescent="0.15">
      <c r="A80" s="14">
        <v>201304</v>
      </c>
      <c r="B80" s="15">
        <v>1</v>
      </c>
      <c r="C80" s="14">
        <v>201305</v>
      </c>
      <c r="D80" s="10" t="str">
        <f>"quest_name_"&amp;表1[[#This Row],[任务ID]]</f>
        <v>quest_name_201304</v>
      </c>
      <c r="E80" s="16" t="str">
        <f>VLOOKUP(表1[[#This Row],[任务名称]],[1]!表1_8[#Data],2,FALSE)</f>
        <v>捕获宝箱鱼达到150条</v>
      </c>
      <c r="F80" s="15">
        <v>1</v>
      </c>
      <c r="G80" s="15">
        <v>52</v>
      </c>
      <c r="H80" s="15">
        <v>150</v>
      </c>
      <c r="I80">
        <v>0</v>
      </c>
      <c r="J80" t="s">
        <v>124</v>
      </c>
      <c r="K80" s="2">
        <v>0</v>
      </c>
    </row>
    <row r="81" spans="1:11" x14ac:dyDescent="0.15">
      <c r="A81" s="14">
        <v>201305</v>
      </c>
      <c r="B81" s="15">
        <v>1</v>
      </c>
      <c r="C81" s="14">
        <v>201306</v>
      </c>
      <c r="D81" s="10" t="str">
        <f>"quest_name_"&amp;表1[[#This Row],[任务ID]]</f>
        <v>quest_name_201305</v>
      </c>
      <c r="E81" s="16" t="str">
        <f>VLOOKUP(表1[[#This Row],[任务名称]],[1]!表1_8[#Data],2,FALSE)</f>
        <v>捕获宝箱鱼达到300条</v>
      </c>
      <c r="F81" s="15">
        <v>1</v>
      </c>
      <c r="G81" s="15">
        <v>52</v>
      </c>
      <c r="H81" s="15">
        <v>300</v>
      </c>
      <c r="I81">
        <v>0</v>
      </c>
      <c r="J81" t="s">
        <v>125</v>
      </c>
      <c r="K81" s="2">
        <v>0</v>
      </c>
    </row>
    <row r="82" spans="1:11" x14ac:dyDescent="0.15">
      <c r="A82" s="14">
        <v>201306</v>
      </c>
      <c r="B82" s="15">
        <v>1</v>
      </c>
      <c r="C82" s="14">
        <v>201307</v>
      </c>
      <c r="D82" s="10" t="str">
        <f>"quest_name_"&amp;表1[[#This Row],[任务ID]]</f>
        <v>quest_name_201306</v>
      </c>
      <c r="E82" s="16" t="str">
        <f>VLOOKUP(表1[[#This Row],[任务名称]],[1]!表1_8[#Data],2,FALSE)</f>
        <v>捕获宝箱鱼达到600条</v>
      </c>
      <c r="F82" s="15">
        <v>1</v>
      </c>
      <c r="G82" s="15">
        <v>52</v>
      </c>
      <c r="H82" s="15">
        <v>600</v>
      </c>
      <c r="I82">
        <v>0</v>
      </c>
      <c r="J82" t="s">
        <v>126</v>
      </c>
      <c r="K82" s="2">
        <v>0</v>
      </c>
    </row>
    <row r="83" spans="1:11" x14ac:dyDescent="0.15">
      <c r="A83" s="14">
        <v>201307</v>
      </c>
      <c r="B83" s="15">
        <v>1</v>
      </c>
      <c r="C83" s="14">
        <v>201308</v>
      </c>
      <c r="D83" s="10" t="str">
        <f>"quest_name_"&amp;表1[[#This Row],[任务ID]]</f>
        <v>quest_name_201307</v>
      </c>
      <c r="E83" s="16" t="str">
        <f>VLOOKUP(表1[[#This Row],[任务名称]],[1]!表1_8[#Data],2,FALSE)</f>
        <v>捕获宝箱鱼达到1000条</v>
      </c>
      <c r="F83" s="15">
        <v>1</v>
      </c>
      <c r="G83" s="15">
        <v>52</v>
      </c>
      <c r="H83" s="15">
        <v>1000</v>
      </c>
      <c r="I83">
        <v>0</v>
      </c>
      <c r="J83" t="s">
        <v>127</v>
      </c>
      <c r="K83" s="2">
        <v>0</v>
      </c>
    </row>
    <row r="84" spans="1:11" x14ac:dyDescent="0.15">
      <c r="A84" s="14">
        <v>201308</v>
      </c>
      <c r="B84" s="15">
        <v>1</v>
      </c>
      <c r="C84" s="14">
        <v>201309</v>
      </c>
      <c r="D84" s="10" t="str">
        <f>"quest_name_"&amp;表1[[#This Row],[任务ID]]</f>
        <v>quest_name_201308</v>
      </c>
      <c r="E84" s="16" t="str">
        <f>VLOOKUP(表1[[#This Row],[任务名称]],[1]!表1_8[#Data],2,FALSE)</f>
        <v>捕获宝箱鱼达到2000条</v>
      </c>
      <c r="F84" s="15">
        <v>1</v>
      </c>
      <c r="G84" s="15">
        <v>52</v>
      </c>
      <c r="H84" s="15">
        <v>2000</v>
      </c>
      <c r="I84">
        <v>0</v>
      </c>
      <c r="J84" t="s">
        <v>128</v>
      </c>
      <c r="K84" s="2">
        <v>0</v>
      </c>
    </row>
    <row r="85" spans="1:11" x14ac:dyDescent="0.15">
      <c r="A85" s="14">
        <v>201309</v>
      </c>
      <c r="B85" s="15">
        <v>1</v>
      </c>
      <c r="C85" s="14">
        <v>0</v>
      </c>
      <c r="D85" s="10" t="str">
        <f>"quest_name_"&amp;表1[[#This Row],[任务ID]]</f>
        <v>quest_name_201309</v>
      </c>
      <c r="E85" s="16" t="str">
        <f>VLOOKUP(表1[[#This Row],[任务名称]],[1]!表1_8[#Data],2,FALSE)</f>
        <v>捕获宝箱鱼达到10000条</v>
      </c>
      <c r="F85" s="15">
        <v>1</v>
      </c>
      <c r="G85" s="15">
        <v>52</v>
      </c>
      <c r="H85" s="15">
        <v>10000</v>
      </c>
      <c r="I85">
        <v>0</v>
      </c>
      <c r="J85" t="s">
        <v>157</v>
      </c>
      <c r="K85" s="2">
        <v>0</v>
      </c>
    </row>
    <row r="86" spans="1:11" x14ac:dyDescent="0.15">
      <c r="A86" s="8">
        <v>201400</v>
      </c>
      <c r="B86" s="9">
        <v>1</v>
      </c>
      <c r="C86" s="8">
        <v>201401</v>
      </c>
      <c r="D86" s="10" t="str">
        <f>"quest_name_"&amp;表1[[#This Row],[任务ID]]</f>
        <v>quest_name_201400</v>
      </c>
      <c r="E86" s="10" t="str">
        <f>VLOOKUP(表1[[#This Row],[任务名称]],[1]!表1_8[#Data],2,FALSE)</f>
        <v>捕获任意鱼10000条</v>
      </c>
      <c r="F86" s="9">
        <v>1</v>
      </c>
      <c r="G86" s="9">
        <v>0</v>
      </c>
      <c r="H86" s="9">
        <v>10000</v>
      </c>
      <c r="I86">
        <v>0</v>
      </c>
      <c r="J86" t="s">
        <v>178</v>
      </c>
      <c r="K86" s="2">
        <v>0</v>
      </c>
    </row>
    <row r="87" spans="1:11" x14ac:dyDescent="0.15">
      <c r="A87" s="8">
        <v>201401</v>
      </c>
      <c r="B87" s="9">
        <v>1</v>
      </c>
      <c r="C87" s="8">
        <v>201402</v>
      </c>
      <c r="D87" s="10" t="str">
        <f>"quest_name_"&amp;表1[[#This Row],[任务ID]]</f>
        <v>quest_name_201401</v>
      </c>
      <c r="E87" s="10" t="str">
        <f>VLOOKUP(表1[[#This Row],[任务名称]],[1]!表1_8[#Data],2,FALSE)</f>
        <v>捕获任意鱼50000条</v>
      </c>
      <c r="F87" s="9">
        <v>1</v>
      </c>
      <c r="G87" s="9">
        <v>0</v>
      </c>
      <c r="H87" s="9">
        <v>50000</v>
      </c>
      <c r="I87">
        <v>0</v>
      </c>
      <c r="J87" t="s">
        <v>179</v>
      </c>
      <c r="K87" s="2">
        <v>0</v>
      </c>
    </row>
    <row r="88" spans="1:11" x14ac:dyDescent="0.15">
      <c r="A88" s="8">
        <v>201402</v>
      </c>
      <c r="B88" s="9">
        <v>1</v>
      </c>
      <c r="C88" s="8">
        <v>201403</v>
      </c>
      <c r="D88" s="10" t="str">
        <f>"quest_name_"&amp;表1[[#This Row],[任务ID]]</f>
        <v>quest_name_201402</v>
      </c>
      <c r="E88" s="10" t="str">
        <f>VLOOKUP(表1[[#This Row],[任务名称]],[1]!表1_8[#Data],2,FALSE)</f>
        <v>捕获任意鱼100000条</v>
      </c>
      <c r="F88" s="9">
        <v>1</v>
      </c>
      <c r="G88" s="9">
        <v>0</v>
      </c>
      <c r="H88" s="9">
        <v>100000</v>
      </c>
      <c r="I88">
        <v>0</v>
      </c>
      <c r="J88" t="s">
        <v>180</v>
      </c>
      <c r="K88" s="2">
        <v>0</v>
      </c>
    </row>
    <row r="89" spans="1:11" x14ac:dyDescent="0.15">
      <c r="A89" s="8">
        <v>201403</v>
      </c>
      <c r="B89" s="9">
        <v>1</v>
      </c>
      <c r="C89" s="8">
        <v>201404</v>
      </c>
      <c r="D89" s="10" t="str">
        <f>"quest_name_"&amp;表1[[#This Row],[任务ID]]</f>
        <v>quest_name_201403</v>
      </c>
      <c r="E89" s="10" t="str">
        <f>VLOOKUP(表1[[#This Row],[任务名称]],[1]!表1_8[#Data],2,FALSE)</f>
        <v>捕获任意鱼250000条</v>
      </c>
      <c r="F89" s="9">
        <v>1</v>
      </c>
      <c r="G89" s="9">
        <v>0</v>
      </c>
      <c r="H89" s="9">
        <v>250000</v>
      </c>
      <c r="I89">
        <v>0</v>
      </c>
      <c r="J89" t="s">
        <v>181</v>
      </c>
      <c r="K89" s="2">
        <v>0</v>
      </c>
    </row>
    <row r="90" spans="1:11" x14ac:dyDescent="0.15">
      <c r="A90" s="8">
        <v>201404</v>
      </c>
      <c r="B90" s="9">
        <v>1</v>
      </c>
      <c r="C90" s="8">
        <v>201405</v>
      </c>
      <c r="D90" s="10" t="str">
        <f>"quest_name_"&amp;表1[[#This Row],[任务ID]]</f>
        <v>quest_name_201404</v>
      </c>
      <c r="E90" s="10" t="str">
        <f>VLOOKUP(表1[[#This Row],[任务名称]],[1]!表1_8[#Data],2,FALSE)</f>
        <v>捕获任意鱼600000条</v>
      </c>
      <c r="F90" s="9">
        <v>1</v>
      </c>
      <c r="G90" s="9">
        <v>0</v>
      </c>
      <c r="H90" s="9">
        <v>600000</v>
      </c>
      <c r="I90">
        <v>0</v>
      </c>
      <c r="J90" t="s">
        <v>47</v>
      </c>
      <c r="K90" s="2">
        <v>0</v>
      </c>
    </row>
    <row r="91" spans="1:11" x14ac:dyDescent="0.15">
      <c r="A91" s="8">
        <v>201405</v>
      </c>
      <c r="B91" s="9">
        <v>1</v>
      </c>
      <c r="C91" s="8">
        <v>201406</v>
      </c>
      <c r="D91" s="10" t="str">
        <f>"quest_name_"&amp;表1[[#This Row],[任务ID]]</f>
        <v>quest_name_201405</v>
      </c>
      <c r="E91" s="10" t="str">
        <f>VLOOKUP(表1[[#This Row],[任务名称]],[1]!表1_8[#Data],2,FALSE)</f>
        <v>捕获任意鱼1000000条</v>
      </c>
      <c r="F91" s="9">
        <v>1</v>
      </c>
      <c r="G91" s="9">
        <v>0</v>
      </c>
      <c r="H91" s="9">
        <v>1000000</v>
      </c>
      <c r="I91">
        <v>0</v>
      </c>
      <c r="J91" t="s">
        <v>182</v>
      </c>
      <c r="K91" s="2">
        <v>0</v>
      </c>
    </row>
    <row r="92" spans="1:11" x14ac:dyDescent="0.15">
      <c r="A92" s="8">
        <v>201406</v>
      </c>
      <c r="B92" s="9">
        <v>1</v>
      </c>
      <c r="C92" s="8">
        <v>201407</v>
      </c>
      <c r="D92" s="10" t="str">
        <f>"quest_name_"&amp;表1[[#This Row],[任务ID]]</f>
        <v>quest_name_201406</v>
      </c>
      <c r="E92" s="10" t="str">
        <f>VLOOKUP(表1[[#This Row],[任务名称]],[1]!表1_8[#Data],2,FALSE)</f>
        <v>捕获任意鱼2500000条</v>
      </c>
      <c r="F92" s="9">
        <v>1</v>
      </c>
      <c r="G92" s="9">
        <v>0</v>
      </c>
      <c r="H92" s="9">
        <v>2500000</v>
      </c>
      <c r="I92">
        <v>0</v>
      </c>
      <c r="J92" t="s">
        <v>183</v>
      </c>
      <c r="K92" s="2">
        <v>0</v>
      </c>
    </row>
    <row r="93" spans="1:11" x14ac:dyDescent="0.15">
      <c r="A93" s="8">
        <v>201407</v>
      </c>
      <c r="B93" s="9">
        <v>1</v>
      </c>
      <c r="C93" s="8">
        <v>201408</v>
      </c>
      <c r="D93" s="10" t="str">
        <f>"quest_name_"&amp;表1[[#This Row],[任务ID]]</f>
        <v>quest_name_201407</v>
      </c>
      <c r="E93" s="10" t="str">
        <f>VLOOKUP(表1[[#This Row],[任务名称]],[1]!表1_8[#Data],2,FALSE)</f>
        <v>捕获任意鱼6000000条</v>
      </c>
      <c r="F93" s="9">
        <v>1</v>
      </c>
      <c r="G93" s="9">
        <v>0</v>
      </c>
      <c r="H93" s="9">
        <v>6000000</v>
      </c>
      <c r="I93">
        <v>0</v>
      </c>
      <c r="J93" t="s">
        <v>184</v>
      </c>
      <c r="K93" s="2">
        <v>0</v>
      </c>
    </row>
    <row r="94" spans="1:11" x14ac:dyDescent="0.15">
      <c r="A94" s="8">
        <v>201408</v>
      </c>
      <c r="B94" s="9">
        <v>1</v>
      </c>
      <c r="C94" s="8">
        <v>201409</v>
      </c>
      <c r="D94" s="10" t="str">
        <f>"quest_name_"&amp;表1[[#This Row],[任务ID]]</f>
        <v>quest_name_201408</v>
      </c>
      <c r="E94" s="10" t="str">
        <f>VLOOKUP(表1[[#This Row],[任务名称]],[1]!表1_8[#Data],2,FALSE)</f>
        <v>捕获任意鱼1000000条</v>
      </c>
      <c r="F94" s="9">
        <v>1</v>
      </c>
      <c r="G94" s="9">
        <v>0</v>
      </c>
      <c r="H94" s="9">
        <v>10000000</v>
      </c>
      <c r="I94">
        <v>0</v>
      </c>
      <c r="J94" t="s">
        <v>185</v>
      </c>
      <c r="K94" s="2">
        <v>0</v>
      </c>
    </row>
    <row r="95" spans="1:11" x14ac:dyDescent="0.15">
      <c r="A95" s="8">
        <v>201409</v>
      </c>
      <c r="B95" s="9">
        <v>1</v>
      </c>
      <c r="C95" s="8">
        <v>0</v>
      </c>
      <c r="D95" s="10" t="str">
        <f>"quest_name_"&amp;表1[[#This Row],[任务ID]]</f>
        <v>quest_name_201409</v>
      </c>
      <c r="E95" s="10" t="str">
        <f>VLOOKUP(表1[[#This Row],[任务名称]],[1]!表1_8[#Data],2,FALSE)</f>
        <v>捕获任意鱼10000000条</v>
      </c>
      <c r="F95" s="9">
        <v>1</v>
      </c>
      <c r="G95" s="9">
        <v>0</v>
      </c>
      <c r="H95" s="9">
        <v>100000000</v>
      </c>
      <c r="I95">
        <v>0</v>
      </c>
      <c r="J95" t="s">
        <v>186</v>
      </c>
      <c r="K95" s="2">
        <v>0</v>
      </c>
    </row>
    <row r="96" spans="1:11" x14ac:dyDescent="0.15">
      <c r="A96" s="8">
        <v>202000</v>
      </c>
      <c r="B96" s="9">
        <v>1</v>
      </c>
      <c r="C96" s="8">
        <v>202001</v>
      </c>
      <c r="D96" s="10" t="str">
        <f>"quest_name_"&amp;表1[[#This Row],[任务ID]]</f>
        <v>quest_name_202000</v>
      </c>
      <c r="E96" s="10" t="str">
        <f>VLOOKUP(表1[[#This Row],[任务名称]],[1]!表1_8[#Data],2,FALSE)</f>
        <v>使用锁定技能10次</v>
      </c>
      <c r="F96" s="9">
        <v>2</v>
      </c>
      <c r="G96" s="9">
        <v>2</v>
      </c>
      <c r="H96" s="9">
        <v>10</v>
      </c>
      <c r="I96">
        <v>0</v>
      </c>
      <c r="J96" t="s">
        <v>48</v>
      </c>
      <c r="K96" s="2">
        <v>0</v>
      </c>
    </row>
    <row r="97" spans="1:11" x14ac:dyDescent="0.15">
      <c r="A97" s="8">
        <v>202001</v>
      </c>
      <c r="B97" s="9">
        <v>1</v>
      </c>
      <c r="C97" s="8">
        <v>202002</v>
      </c>
      <c r="D97" s="10" t="str">
        <f>"quest_name_"&amp;表1[[#This Row],[任务ID]]</f>
        <v>quest_name_202001</v>
      </c>
      <c r="E97" s="10" t="str">
        <f>VLOOKUP(表1[[#This Row],[任务名称]],[1]!表1_8[#Data],2,FALSE)</f>
        <v>使用锁定技能20次</v>
      </c>
      <c r="F97" s="9">
        <v>2</v>
      </c>
      <c r="G97" s="9">
        <v>2</v>
      </c>
      <c r="H97" s="9">
        <v>20</v>
      </c>
      <c r="I97">
        <v>0</v>
      </c>
      <c r="J97" t="s">
        <v>49</v>
      </c>
      <c r="K97" s="2">
        <v>0</v>
      </c>
    </row>
    <row r="98" spans="1:11" x14ac:dyDescent="0.15">
      <c r="A98" s="8">
        <v>202002</v>
      </c>
      <c r="B98" s="9">
        <v>1</v>
      </c>
      <c r="C98" s="8">
        <v>202003</v>
      </c>
      <c r="D98" s="10" t="str">
        <f>"quest_name_"&amp;表1[[#This Row],[任务ID]]</f>
        <v>quest_name_202002</v>
      </c>
      <c r="E98" s="10" t="str">
        <f>VLOOKUP(表1[[#This Row],[任务名称]],[1]!表1_8[#Data],2,FALSE)</f>
        <v>使用锁定技能30次</v>
      </c>
      <c r="F98" s="9">
        <v>2</v>
      </c>
      <c r="G98" s="9">
        <v>2</v>
      </c>
      <c r="H98" s="9">
        <v>30</v>
      </c>
      <c r="I98">
        <v>0</v>
      </c>
      <c r="J98" t="s">
        <v>50</v>
      </c>
      <c r="K98" s="2">
        <v>0</v>
      </c>
    </row>
    <row r="99" spans="1:11" x14ac:dyDescent="0.15">
      <c r="A99" s="8">
        <v>202003</v>
      </c>
      <c r="B99" s="9">
        <v>1</v>
      </c>
      <c r="C99" s="8">
        <v>202004</v>
      </c>
      <c r="D99" s="10" t="str">
        <f>"quest_name_"&amp;表1[[#This Row],[任务ID]]</f>
        <v>quest_name_202003</v>
      </c>
      <c r="E99" s="10" t="str">
        <f>VLOOKUP(表1[[#This Row],[任务名称]],[1]!表1_8[#Data],2,FALSE)</f>
        <v>使用锁定技能40次</v>
      </c>
      <c r="F99" s="9">
        <v>2</v>
      </c>
      <c r="G99" s="9">
        <v>2</v>
      </c>
      <c r="H99" s="9">
        <v>40</v>
      </c>
      <c r="I99">
        <v>0</v>
      </c>
      <c r="J99" t="s">
        <v>51</v>
      </c>
      <c r="K99" s="2">
        <v>0</v>
      </c>
    </row>
    <row r="100" spans="1:11" x14ac:dyDescent="0.15">
      <c r="A100" s="8">
        <v>202004</v>
      </c>
      <c r="B100" s="9">
        <v>1</v>
      </c>
      <c r="C100" s="8">
        <v>202005</v>
      </c>
      <c r="D100" s="10" t="str">
        <f>"quest_name_"&amp;表1[[#This Row],[任务ID]]</f>
        <v>quest_name_202004</v>
      </c>
      <c r="E100" s="10" t="str">
        <f>VLOOKUP(表1[[#This Row],[任务名称]],[1]!表1_8[#Data],2,FALSE)</f>
        <v>使用锁定技能50次</v>
      </c>
      <c r="F100" s="9">
        <v>2</v>
      </c>
      <c r="G100" s="9">
        <v>2</v>
      </c>
      <c r="H100" s="9">
        <v>50</v>
      </c>
      <c r="I100">
        <v>0</v>
      </c>
      <c r="J100" t="s">
        <v>52</v>
      </c>
      <c r="K100" s="2">
        <v>0</v>
      </c>
    </row>
    <row r="101" spans="1:11" x14ac:dyDescent="0.15">
      <c r="A101" s="8">
        <v>202005</v>
      </c>
      <c r="B101" s="9">
        <v>1</v>
      </c>
      <c r="C101" s="8">
        <v>202006</v>
      </c>
      <c r="D101" s="10" t="str">
        <f>"quest_name_"&amp;表1[[#This Row],[任务ID]]</f>
        <v>quest_name_202005</v>
      </c>
      <c r="E101" s="10" t="str">
        <f>VLOOKUP(表1[[#This Row],[任务名称]],[1]!表1_8[#Data],2,FALSE)</f>
        <v>使用锁定技能60次</v>
      </c>
      <c r="F101" s="9">
        <v>2</v>
      </c>
      <c r="G101" s="9">
        <v>2</v>
      </c>
      <c r="H101" s="9">
        <v>60</v>
      </c>
      <c r="I101">
        <v>0</v>
      </c>
      <c r="J101" t="s">
        <v>53</v>
      </c>
      <c r="K101" s="2">
        <v>0</v>
      </c>
    </row>
    <row r="102" spans="1:11" x14ac:dyDescent="0.15">
      <c r="A102" s="8">
        <v>202006</v>
      </c>
      <c r="B102" s="9">
        <v>1</v>
      </c>
      <c r="C102" s="8">
        <v>202007</v>
      </c>
      <c r="D102" s="10" t="str">
        <f>"quest_name_"&amp;表1[[#This Row],[任务ID]]</f>
        <v>quest_name_202006</v>
      </c>
      <c r="E102" s="10" t="str">
        <f>VLOOKUP(表1[[#This Row],[任务名称]],[1]!表1_8[#Data],2,FALSE)</f>
        <v>使用锁定技能70次</v>
      </c>
      <c r="F102" s="9">
        <v>2</v>
      </c>
      <c r="G102" s="9">
        <v>2</v>
      </c>
      <c r="H102" s="9">
        <v>70</v>
      </c>
      <c r="I102">
        <v>0</v>
      </c>
      <c r="J102" t="s">
        <v>54</v>
      </c>
      <c r="K102" s="2">
        <v>0</v>
      </c>
    </row>
    <row r="103" spans="1:11" x14ac:dyDescent="0.15">
      <c r="A103" s="8">
        <v>202007</v>
      </c>
      <c r="B103" s="9">
        <v>1</v>
      </c>
      <c r="C103" s="8">
        <v>202008</v>
      </c>
      <c r="D103" s="10" t="str">
        <f>"quest_name_"&amp;表1[[#This Row],[任务ID]]</f>
        <v>quest_name_202007</v>
      </c>
      <c r="E103" s="10" t="str">
        <f>VLOOKUP(表1[[#This Row],[任务名称]],[1]!表1_8[#Data],2,FALSE)</f>
        <v>使用锁定技能80次</v>
      </c>
      <c r="F103" s="9">
        <v>2</v>
      </c>
      <c r="G103" s="9">
        <v>2</v>
      </c>
      <c r="H103" s="9">
        <v>80</v>
      </c>
      <c r="I103">
        <v>0</v>
      </c>
      <c r="J103" t="s">
        <v>55</v>
      </c>
      <c r="K103" s="2">
        <v>0</v>
      </c>
    </row>
    <row r="104" spans="1:11" x14ac:dyDescent="0.15">
      <c r="A104" s="8">
        <v>202008</v>
      </c>
      <c r="B104" s="9">
        <v>1</v>
      </c>
      <c r="C104" s="8">
        <v>202009</v>
      </c>
      <c r="D104" s="10" t="str">
        <f>"quest_name_"&amp;表1[[#This Row],[任务ID]]</f>
        <v>quest_name_202008</v>
      </c>
      <c r="E104" s="10" t="str">
        <f>VLOOKUP(表1[[#This Row],[任务名称]],[1]!表1_8[#Data],2,FALSE)</f>
        <v>使用锁定技能90次</v>
      </c>
      <c r="F104" s="9">
        <v>2</v>
      </c>
      <c r="G104" s="9">
        <v>2</v>
      </c>
      <c r="H104" s="9">
        <v>90</v>
      </c>
      <c r="I104">
        <v>0</v>
      </c>
      <c r="J104" t="s">
        <v>56</v>
      </c>
      <c r="K104" s="2">
        <v>0</v>
      </c>
    </row>
    <row r="105" spans="1:11" x14ac:dyDescent="0.15">
      <c r="A105" s="8">
        <v>202009</v>
      </c>
      <c r="B105" s="9">
        <v>1</v>
      </c>
      <c r="C105" s="8">
        <v>202010</v>
      </c>
      <c r="D105" s="10" t="str">
        <f>"quest_name_"&amp;表1[[#This Row],[任务ID]]</f>
        <v>quest_name_202009</v>
      </c>
      <c r="E105" s="10" t="str">
        <f>VLOOKUP(表1[[#This Row],[任务名称]],[1]!表1_8[#Data],2,FALSE)</f>
        <v>使用锁定技能100次</v>
      </c>
      <c r="F105" s="9">
        <v>2</v>
      </c>
      <c r="G105" s="9">
        <v>2</v>
      </c>
      <c r="H105" s="9">
        <v>100</v>
      </c>
      <c r="I105">
        <v>0</v>
      </c>
      <c r="J105" t="s">
        <v>44</v>
      </c>
      <c r="K105" s="2">
        <v>0</v>
      </c>
    </row>
    <row r="106" spans="1:11" x14ac:dyDescent="0.15">
      <c r="A106" s="8">
        <v>202010</v>
      </c>
      <c r="B106" s="9">
        <v>1</v>
      </c>
      <c r="C106" s="8">
        <v>202011</v>
      </c>
      <c r="D106" s="10" t="str">
        <f>"quest_name_"&amp;表1[[#This Row],[任务ID]]</f>
        <v>quest_name_202010</v>
      </c>
      <c r="E106" s="10" t="str">
        <f>VLOOKUP(表1[[#This Row],[任务名称]],[1]!表1_8[#Data],2,FALSE)</f>
        <v>使用锁定技能200次</v>
      </c>
      <c r="F106" s="9">
        <v>2</v>
      </c>
      <c r="G106" s="9">
        <v>2</v>
      </c>
      <c r="H106" s="9">
        <v>200</v>
      </c>
      <c r="I106">
        <v>0</v>
      </c>
      <c r="J106" t="s">
        <v>57</v>
      </c>
      <c r="K106" s="2">
        <v>0</v>
      </c>
    </row>
    <row r="107" spans="1:11" x14ac:dyDescent="0.15">
      <c r="A107" s="8">
        <v>202011</v>
      </c>
      <c r="B107" s="9">
        <v>1</v>
      </c>
      <c r="C107" s="8">
        <v>202012</v>
      </c>
      <c r="D107" s="10" t="str">
        <f>"quest_name_"&amp;表1[[#This Row],[任务ID]]</f>
        <v>quest_name_202011</v>
      </c>
      <c r="E107" s="10" t="str">
        <f>VLOOKUP(表1[[#This Row],[任务名称]],[1]!表1_8[#Data],2,FALSE)</f>
        <v>使用锁定技能400次</v>
      </c>
      <c r="F107" s="9">
        <v>2</v>
      </c>
      <c r="G107" s="9">
        <v>2</v>
      </c>
      <c r="H107" s="9">
        <v>400</v>
      </c>
      <c r="I107">
        <v>0</v>
      </c>
      <c r="J107" t="s">
        <v>58</v>
      </c>
      <c r="K107" s="2">
        <v>0</v>
      </c>
    </row>
    <row r="108" spans="1:11" x14ac:dyDescent="0.15">
      <c r="A108" s="8">
        <v>202012</v>
      </c>
      <c r="B108" s="9">
        <v>1</v>
      </c>
      <c r="C108" s="8">
        <v>202013</v>
      </c>
      <c r="D108" s="10" t="str">
        <f>"quest_name_"&amp;表1[[#This Row],[任务ID]]</f>
        <v>quest_name_202012</v>
      </c>
      <c r="E108" s="10" t="str">
        <f>VLOOKUP(表1[[#This Row],[任务名称]],[1]!表1_8[#Data],2,FALSE)</f>
        <v>使用锁定技能600次</v>
      </c>
      <c r="F108" s="9">
        <v>2</v>
      </c>
      <c r="G108" s="9">
        <v>2</v>
      </c>
      <c r="H108" s="9">
        <v>600</v>
      </c>
      <c r="I108">
        <v>0</v>
      </c>
      <c r="J108" t="s">
        <v>59</v>
      </c>
      <c r="K108" s="2">
        <v>0</v>
      </c>
    </row>
    <row r="109" spans="1:11" x14ac:dyDescent="0.15">
      <c r="A109" s="8">
        <v>202013</v>
      </c>
      <c r="B109" s="9">
        <v>1</v>
      </c>
      <c r="C109" s="8">
        <v>202014</v>
      </c>
      <c r="D109" s="10" t="str">
        <f>"quest_name_"&amp;表1[[#This Row],[任务ID]]</f>
        <v>quest_name_202013</v>
      </c>
      <c r="E109" s="10" t="str">
        <f>VLOOKUP(表1[[#This Row],[任务名称]],[1]!表1_8[#Data],2,FALSE)</f>
        <v>使用锁定技能1000次</v>
      </c>
      <c r="F109" s="9">
        <v>2</v>
      </c>
      <c r="G109" s="9">
        <v>2</v>
      </c>
      <c r="H109" s="9">
        <v>1000</v>
      </c>
      <c r="I109">
        <v>0</v>
      </c>
      <c r="J109" t="s">
        <v>60</v>
      </c>
      <c r="K109" s="2">
        <v>0</v>
      </c>
    </row>
    <row r="110" spans="1:11" x14ac:dyDescent="0.15">
      <c r="A110" s="8">
        <v>202014</v>
      </c>
      <c r="B110" s="9">
        <v>1</v>
      </c>
      <c r="C110" s="8">
        <v>202015</v>
      </c>
      <c r="D110" s="10" t="str">
        <f>"quest_name_"&amp;表1[[#This Row],[任务ID]]</f>
        <v>quest_name_202014</v>
      </c>
      <c r="E110" s="10" t="str">
        <f>VLOOKUP(表1[[#This Row],[任务名称]],[1]!表1_8[#Data],2,FALSE)</f>
        <v>使用锁定技能10000次</v>
      </c>
      <c r="F110" s="9">
        <v>2</v>
      </c>
      <c r="G110" s="9">
        <v>2</v>
      </c>
      <c r="H110" s="9">
        <v>10000</v>
      </c>
      <c r="I110">
        <v>0</v>
      </c>
      <c r="J110" t="s">
        <v>61</v>
      </c>
      <c r="K110" s="2">
        <v>0</v>
      </c>
    </row>
    <row r="111" spans="1:11" x14ac:dyDescent="0.15">
      <c r="A111" s="8">
        <v>202015</v>
      </c>
      <c r="B111" s="9">
        <v>1</v>
      </c>
      <c r="C111" s="8">
        <v>0</v>
      </c>
      <c r="D111" s="10" t="str">
        <f>"quest_name_"&amp;表1[[#This Row],[任务ID]]</f>
        <v>quest_name_202015</v>
      </c>
      <c r="E111" s="10" t="str">
        <f>VLOOKUP(表1[[#This Row],[任务名称]],[1]!表1_8[#Data],2,FALSE)</f>
        <v>使用锁定技能100000次</v>
      </c>
      <c r="F111" s="9">
        <v>2</v>
      </c>
      <c r="G111" s="9">
        <v>2</v>
      </c>
      <c r="H111" s="9">
        <v>100000</v>
      </c>
      <c r="I111">
        <v>0</v>
      </c>
      <c r="J111" t="s">
        <v>62</v>
      </c>
      <c r="K111" s="2">
        <v>0</v>
      </c>
    </row>
    <row r="112" spans="1:11" x14ac:dyDescent="0.15">
      <c r="A112" s="8">
        <v>202100</v>
      </c>
      <c r="B112" s="9">
        <v>1</v>
      </c>
      <c r="C112" s="8">
        <v>202101</v>
      </c>
      <c r="D112" s="10" t="str">
        <f>"quest_name_"&amp;表1[[#This Row],[任务ID]]</f>
        <v>quest_name_202100</v>
      </c>
      <c r="E112" s="10" t="str">
        <f>VLOOKUP(表1[[#This Row],[任务名称]],[1]!表1_8[#Data],2,FALSE)</f>
        <v>使用技能召唤5条鱼</v>
      </c>
      <c r="F112" s="9">
        <v>2</v>
      </c>
      <c r="G112" s="9">
        <v>3</v>
      </c>
      <c r="H112" s="9">
        <v>5</v>
      </c>
      <c r="I112">
        <v>0</v>
      </c>
      <c r="J112" t="s">
        <v>48</v>
      </c>
      <c r="K112" s="2">
        <v>0</v>
      </c>
    </row>
    <row r="113" spans="1:11" x14ac:dyDescent="0.15">
      <c r="A113" s="8">
        <v>202101</v>
      </c>
      <c r="B113" s="9">
        <v>1</v>
      </c>
      <c r="C113" s="8">
        <v>202102</v>
      </c>
      <c r="D113" s="10" t="str">
        <f>"quest_name_"&amp;表1[[#This Row],[任务ID]]</f>
        <v>quest_name_202101</v>
      </c>
      <c r="E113" s="10" t="str">
        <f>VLOOKUP(表1[[#This Row],[任务名称]],[1]!表1_8[#Data],2,FALSE)</f>
        <v>使用技能召唤10条鱼</v>
      </c>
      <c r="F113" s="9">
        <v>2</v>
      </c>
      <c r="G113" s="9">
        <v>3</v>
      </c>
      <c r="H113" s="9">
        <v>10</v>
      </c>
      <c r="I113">
        <v>0</v>
      </c>
      <c r="J113" t="s">
        <v>49</v>
      </c>
      <c r="K113" s="2">
        <v>0</v>
      </c>
    </row>
    <row r="114" spans="1:11" x14ac:dyDescent="0.15">
      <c r="A114" s="8">
        <v>202102</v>
      </c>
      <c r="B114" s="9">
        <v>1</v>
      </c>
      <c r="C114" s="8">
        <v>202103</v>
      </c>
      <c r="D114" s="10" t="str">
        <f>"quest_name_"&amp;表1[[#This Row],[任务ID]]</f>
        <v>quest_name_202102</v>
      </c>
      <c r="E114" s="10" t="str">
        <f>VLOOKUP(表1[[#This Row],[任务名称]],[1]!表1_8[#Data],2,FALSE)</f>
        <v>使用技能召唤20条鱼</v>
      </c>
      <c r="F114" s="9">
        <v>2</v>
      </c>
      <c r="G114" s="9">
        <v>3</v>
      </c>
      <c r="H114" s="9">
        <v>20</v>
      </c>
      <c r="I114">
        <v>0</v>
      </c>
      <c r="J114" t="s">
        <v>50</v>
      </c>
      <c r="K114" s="2">
        <v>0</v>
      </c>
    </row>
    <row r="115" spans="1:11" x14ac:dyDescent="0.15">
      <c r="A115" s="8">
        <v>202103</v>
      </c>
      <c r="B115" s="9">
        <v>1</v>
      </c>
      <c r="C115" s="8">
        <v>202104</v>
      </c>
      <c r="D115" s="10" t="str">
        <f>"quest_name_"&amp;表1[[#This Row],[任务ID]]</f>
        <v>quest_name_202103</v>
      </c>
      <c r="E115" s="10" t="str">
        <f>VLOOKUP(表1[[#This Row],[任务名称]],[1]!表1_8[#Data],2,FALSE)</f>
        <v>使用技能召唤40条鱼</v>
      </c>
      <c r="F115" s="9">
        <v>2</v>
      </c>
      <c r="G115" s="9">
        <v>3</v>
      </c>
      <c r="H115" s="9">
        <v>40</v>
      </c>
      <c r="I115">
        <v>0</v>
      </c>
      <c r="J115" t="s">
        <v>51</v>
      </c>
      <c r="K115" s="2">
        <v>0</v>
      </c>
    </row>
    <row r="116" spans="1:11" x14ac:dyDescent="0.15">
      <c r="A116" s="8">
        <v>202104</v>
      </c>
      <c r="B116" s="9">
        <v>1</v>
      </c>
      <c r="C116" s="8">
        <v>202105</v>
      </c>
      <c r="D116" s="10" t="str">
        <f>"quest_name_"&amp;表1[[#This Row],[任务ID]]</f>
        <v>quest_name_202104</v>
      </c>
      <c r="E116" s="10" t="str">
        <f>VLOOKUP(表1[[#This Row],[任务名称]],[1]!表1_8[#Data],2,FALSE)</f>
        <v>使用技能召唤60条鱼</v>
      </c>
      <c r="F116" s="9">
        <v>2</v>
      </c>
      <c r="G116" s="9">
        <v>3</v>
      </c>
      <c r="H116" s="9">
        <v>60</v>
      </c>
      <c r="I116">
        <v>0</v>
      </c>
      <c r="J116" t="s">
        <v>52</v>
      </c>
      <c r="K116" s="2">
        <v>0</v>
      </c>
    </row>
    <row r="117" spans="1:11" x14ac:dyDescent="0.15">
      <c r="A117" s="8">
        <v>202105</v>
      </c>
      <c r="B117" s="9">
        <v>1</v>
      </c>
      <c r="C117" s="8">
        <v>202106</v>
      </c>
      <c r="D117" s="10" t="str">
        <f>"quest_name_"&amp;表1[[#This Row],[任务ID]]</f>
        <v>quest_name_202105</v>
      </c>
      <c r="E117" s="10" t="str">
        <f>VLOOKUP(表1[[#This Row],[任务名称]],[1]!表1_8[#Data],2,FALSE)</f>
        <v>使用技能召唤80条鱼</v>
      </c>
      <c r="F117" s="9">
        <v>2</v>
      </c>
      <c r="G117" s="9">
        <v>3</v>
      </c>
      <c r="H117" s="9">
        <v>80</v>
      </c>
      <c r="I117">
        <v>0</v>
      </c>
      <c r="J117" t="s">
        <v>53</v>
      </c>
      <c r="K117" s="2">
        <v>0</v>
      </c>
    </row>
    <row r="118" spans="1:11" x14ac:dyDescent="0.15">
      <c r="A118" s="8">
        <v>202106</v>
      </c>
      <c r="B118" s="9">
        <v>1</v>
      </c>
      <c r="C118" s="8">
        <v>202107</v>
      </c>
      <c r="D118" s="10" t="str">
        <f>"quest_name_"&amp;表1[[#This Row],[任务ID]]</f>
        <v>quest_name_202106</v>
      </c>
      <c r="E118" s="10" t="str">
        <f>VLOOKUP(表1[[#This Row],[任务名称]],[1]!表1_8[#Data],2,FALSE)</f>
        <v>使用技能召唤100条鱼</v>
      </c>
      <c r="F118" s="9">
        <v>2</v>
      </c>
      <c r="G118" s="9">
        <v>3</v>
      </c>
      <c r="H118" s="9">
        <v>100</v>
      </c>
      <c r="I118">
        <v>0</v>
      </c>
      <c r="J118" t="s">
        <v>54</v>
      </c>
      <c r="K118" s="2">
        <v>0</v>
      </c>
    </row>
    <row r="119" spans="1:11" x14ac:dyDescent="0.15">
      <c r="A119" s="8">
        <v>202107</v>
      </c>
      <c r="B119" s="9">
        <v>1</v>
      </c>
      <c r="C119" s="8">
        <v>202108</v>
      </c>
      <c r="D119" s="10" t="str">
        <f>"quest_name_"&amp;表1[[#This Row],[任务ID]]</f>
        <v>quest_name_202107</v>
      </c>
      <c r="E119" s="10" t="str">
        <f>VLOOKUP(表1[[#This Row],[任务名称]],[1]!表1_8[#Data],2,FALSE)</f>
        <v>使用技能召唤200条鱼</v>
      </c>
      <c r="F119" s="9">
        <v>2</v>
      </c>
      <c r="G119" s="9">
        <v>3</v>
      </c>
      <c r="H119" s="9">
        <v>200</v>
      </c>
      <c r="I119">
        <v>0</v>
      </c>
      <c r="J119" t="s">
        <v>55</v>
      </c>
      <c r="K119" s="2">
        <v>0</v>
      </c>
    </row>
    <row r="120" spans="1:11" x14ac:dyDescent="0.15">
      <c r="A120" s="8">
        <v>202108</v>
      </c>
      <c r="B120" s="9">
        <v>1</v>
      </c>
      <c r="C120" s="8">
        <v>202109</v>
      </c>
      <c r="D120" s="10" t="str">
        <f>"quest_name_"&amp;表1[[#This Row],[任务ID]]</f>
        <v>quest_name_202108</v>
      </c>
      <c r="E120" s="10" t="str">
        <f>VLOOKUP(表1[[#This Row],[任务名称]],[1]!表1_8[#Data],2,FALSE)</f>
        <v>使用技能召唤400条鱼</v>
      </c>
      <c r="F120" s="9">
        <v>2</v>
      </c>
      <c r="G120" s="9">
        <v>3</v>
      </c>
      <c r="H120" s="9">
        <v>400</v>
      </c>
      <c r="I120">
        <v>0</v>
      </c>
      <c r="J120" t="s">
        <v>56</v>
      </c>
      <c r="K120" s="2">
        <v>0</v>
      </c>
    </row>
    <row r="121" spans="1:11" x14ac:dyDescent="0.15">
      <c r="A121" s="8">
        <v>202109</v>
      </c>
      <c r="B121" s="9">
        <v>1</v>
      </c>
      <c r="C121" s="8">
        <v>202110</v>
      </c>
      <c r="D121" s="10" t="str">
        <f>"quest_name_"&amp;表1[[#This Row],[任务ID]]</f>
        <v>quest_name_202109</v>
      </c>
      <c r="E121" s="10" t="str">
        <f>VLOOKUP(表1[[#This Row],[任务名称]],[1]!表1_8[#Data],2,FALSE)</f>
        <v>使用技能召唤600条鱼</v>
      </c>
      <c r="F121" s="9">
        <v>2</v>
      </c>
      <c r="G121" s="9">
        <v>3</v>
      </c>
      <c r="H121" s="9">
        <v>600</v>
      </c>
      <c r="I121">
        <v>0</v>
      </c>
      <c r="J121" t="s">
        <v>44</v>
      </c>
      <c r="K121" s="2">
        <v>0</v>
      </c>
    </row>
    <row r="122" spans="1:11" x14ac:dyDescent="0.15">
      <c r="A122" s="8">
        <v>202110</v>
      </c>
      <c r="B122" s="9">
        <v>1</v>
      </c>
      <c r="C122" s="8">
        <v>202111</v>
      </c>
      <c r="D122" s="10" t="str">
        <f>"quest_name_"&amp;表1[[#This Row],[任务ID]]</f>
        <v>quest_name_202110</v>
      </c>
      <c r="E122" s="10" t="str">
        <f>VLOOKUP(表1[[#This Row],[任务名称]],[1]!表1_8[#Data],2,FALSE)</f>
        <v>使用技能召唤800条鱼</v>
      </c>
      <c r="F122" s="9">
        <v>2</v>
      </c>
      <c r="G122" s="9">
        <v>3</v>
      </c>
      <c r="H122" s="9">
        <v>800</v>
      </c>
      <c r="I122">
        <v>0</v>
      </c>
      <c r="J122" t="s">
        <v>57</v>
      </c>
      <c r="K122" s="2">
        <v>0</v>
      </c>
    </row>
    <row r="123" spans="1:11" x14ac:dyDescent="0.15">
      <c r="A123" s="8">
        <v>202111</v>
      </c>
      <c r="B123" s="9">
        <v>1</v>
      </c>
      <c r="C123" s="8">
        <v>202112</v>
      </c>
      <c r="D123" s="10" t="str">
        <f>"quest_name_"&amp;表1[[#This Row],[任务ID]]</f>
        <v>quest_name_202111</v>
      </c>
      <c r="E123" s="10" t="str">
        <f>VLOOKUP(表1[[#This Row],[任务名称]],[1]!表1_8[#Data],2,FALSE)</f>
        <v>使用技能召唤1000条鱼</v>
      </c>
      <c r="F123" s="9">
        <v>2</v>
      </c>
      <c r="G123" s="9">
        <v>3</v>
      </c>
      <c r="H123" s="9">
        <v>1000</v>
      </c>
      <c r="I123">
        <v>0</v>
      </c>
      <c r="J123" t="s">
        <v>58</v>
      </c>
      <c r="K123" s="2">
        <v>0</v>
      </c>
    </row>
    <row r="124" spans="1:11" x14ac:dyDescent="0.15">
      <c r="A124" s="8">
        <v>202112</v>
      </c>
      <c r="B124" s="9">
        <v>1</v>
      </c>
      <c r="C124" s="8">
        <v>202113</v>
      </c>
      <c r="D124" s="10" t="str">
        <f>"quest_name_"&amp;表1[[#This Row],[任务ID]]</f>
        <v>quest_name_202112</v>
      </c>
      <c r="E124" s="10" t="str">
        <f>VLOOKUP(表1[[#This Row],[任务名称]],[1]!表1_8[#Data],2,FALSE)</f>
        <v>使用技能召唤2000条鱼</v>
      </c>
      <c r="F124" s="9">
        <v>2</v>
      </c>
      <c r="G124" s="9">
        <v>3</v>
      </c>
      <c r="H124" s="9">
        <v>2000</v>
      </c>
      <c r="I124">
        <v>0</v>
      </c>
      <c r="J124" t="s">
        <v>59</v>
      </c>
      <c r="K124" s="2">
        <v>0</v>
      </c>
    </row>
    <row r="125" spans="1:11" x14ac:dyDescent="0.15">
      <c r="A125" s="8">
        <v>202113</v>
      </c>
      <c r="B125" s="9">
        <v>1</v>
      </c>
      <c r="C125" s="8">
        <v>202114</v>
      </c>
      <c r="D125" s="10" t="str">
        <f>"quest_name_"&amp;表1[[#This Row],[任务ID]]</f>
        <v>quest_name_202113</v>
      </c>
      <c r="E125" s="10" t="str">
        <f>VLOOKUP(表1[[#This Row],[任务名称]],[1]!表1_8[#Data],2,FALSE)</f>
        <v>使用技能召唤4000条鱼</v>
      </c>
      <c r="F125" s="9">
        <v>2</v>
      </c>
      <c r="G125" s="9">
        <v>3</v>
      </c>
      <c r="H125" s="9">
        <v>4000</v>
      </c>
      <c r="I125">
        <v>0</v>
      </c>
      <c r="J125" t="s">
        <v>60</v>
      </c>
      <c r="K125" s="2">
        <v>0</v>
      </c>
    </row>
    <row r="126" spans="1:11" x14ac:dyDescent="0.15">
      <c r="A126" s="8">
        <v>202114</v>
      </c>
      <c r="B126" s="9">
        <v>1</v>
      </c>
      <c r="C126" s="8">
        <v>202115</v>
      </c>
      <c r="D126" s="10" t="str">
        <f>"quest_name_"&amp;表1[[#This Row],[任务ID]]</f>
        <v>quest_name_202114</v>
      </c>
      <c r="E126" s="10" t="str">
        <f>VLOOKUP(表1[[#This Row],[任务名称]],[1]!表1_8[#Data],2,FALSE)</f>
        <v>使用技能召唤6000条鱼</v>
      </c>
      <c r="F126" s="9">
        <v>2</v>
      </c>
      <c r="G126" s="9">
        <v>3</v>
      </c>
      <c r="H126" s="9">
        <v>6000</v>
      </c>
      <c r="I126">
        <v>0</v>
      </c>
      <c r="J126" t="s">
        <v>61</v>
      </c>
      <c r="K126" s="2">
        <v>0</v>
      </c>
    </row>
    <row r="127" spans="1:11" x14ac:dyDescent="0.15">
      <c r="A127" s="8">
        <v>202115</v>
      </c>
      <c r="B127" s="9">
        <v>1</v>
      </c>
      <c r="C127" s="8">
        <v>0</v>
      </c>
      <c r="D127" s="10" t="str">
        <f>"quest_name_"&amp;表1[[#This Row],[任务ID]]</f>
        <v>quest_name_202115</v>
      </c>
      <c r="E127" s="10" t="str">
        <f>VLOOKUP(表1[[#This Row],[任务名称]],[1]!表1_8[#Data],2,FALSE)</f>
        <v>使用技能召唤10000条鱼</v>
      </c>
      <c r="F127" s="9">
        <v>2</v>
      </c>
      <c r="G127" s="9">
        <v>3</v>
      </c>
      <c r="H127" s="9">
        <v>10000</v>
      </c>
      <c r="I127">
        <v>0</v>
      </c>
      <c r="J127" t="s">
        <v>62</v>
      </c>
      <c r="K127" s="2">
        <v>0</v>
      </c>
    </row>
    <row r="128" spans="1:11" x14ac:dyDescent="0.15">
      <c r="A128" s="8">
        <v>202200</v>
      </c>
      <c r="B128" s="9">
        <v>1</v>
      </c>
      <c r="C128" s="8">
        <v>202201</v>
      </c>
      <c r="D128" s="10" t="str">
        <f>"quest_name_"&amp;表1[[#This Row],[任务ID]]</f>
        <v>quest_name_202200</v>
      </c>
      <c r="E128" s="10" t="str">
        <f>VLOOKUP(表1[[#This Row],[任务名称]],[1]!表1_8[#Data],2,FALSE)</f>
        <v>使用激光5次</v>
      </c>
      <c r="F128" s="9">
        <v>2</v>
      </c>
      <c r="G128" s="9">
        <v>4</v>
      </c>
      <c r="H128" s="9">
        <v>5</v>
      </c>
      <c r="I128">
        <v>0</v>
      </c>
      <c r="J128" t="s">
        <v>49</v>
      </c>
      <c r="K128" s="2">
        <v>0</v>
      </c>
    </row>
    <row r="129" spans="1:11" x14ac:dyDescent="0.15">
      <c r="A129" s="8">
        <v>202201</v>
      </c>
      <c r="B129" s="9">
        <v>1</v>
      </c>
      <c r="C129" s="8">
        <v>202202</v>
      </c>
      <c r="D129" s="10" t="str">
        <f>"quest_name_"&amp;表1[[#This Row],[任务ID]]</f>
        <v>quest_name_202201</v>
      </c>
      <c r="E129" s="10" t="str">
        <f>VLOOKUP(表1[[#This Row],[任务名称]],[1]!表1_8[#Data],2,FALSE)</f>
        <v>使用激光10次</v>
      </c>
      <c r="F129" s="9">
        <v>2</v>
      </c>
      <c r="G129" s="9">
        <v>4</v>
      </c>
      <c r="H129" s="9">
        <v>10</v>
      </c>
      <c r="I129">
        <v>0</v>
      </c>
      <c r="J129" t="s">
        <v>51</v>
      </c>
      <c r="K129" s="2">
        <v>0</v>
      </c>
    </row>
    <row r="130" spans="1:11" x14ac:dyDescent="0.15">
      <c r="A130" s="8">
        <v>202202</v>
      </c>
      <c r="B130" s="9">
        <v>1</v>
      </c>
      <c r="C130" s="8">
        <v>202203</v>
      </c>
      <c r="D130" s="10" t="str">
        <f>"quest_name_"&amp;表1[[#This Row],[任务ID]]</f>
        <v>quest_name_202202</v>
      </c>
      <c r="E130" s="10" t="str">
        <f>VLOOKUP(表1[[#This Row],[任务名称]],[1]!表1_8[#Data],2,FALSE)</f>
        <v>使用激光15次</v>
      </c>
      <c r="F130" s="9">
        <v>2</v>
      </c>
      <c r="G130" s="9">
        <v>4</v>
      </c>
      <c r="H130" s="9">
        <v>15</v>
      </c>
      <c r="I130">
        <v>0</v>
      </c>
      <c r="J130" t="s">
        <v>53</v>
      </c>
      <c r="K130" s="2">
        <v>0</v>
      </c>
    </row>
    <row r="131" spans="1:11" x14ac:dyDescent="0.15">
      <c r="A131" s="8">
        <v>202203</v>
      </c>
      <c r="B131" s="9">
        <v>1</v>
      </c>
      <c r="C131" s="8">
        <v>202204</v>
      </c>
      <c r="D131" s="10" t="str">
        <f>"quest_name_"&amp;表1[[#This Row],[任务ID]]</f>
        <v>quest_name_202203</v>
      </c>
      <c r="E131" s="10" t="str">
        <f>VLOOKUP(表1[[#This Row],[任务名称]],[1]!表1_8[#Data],2,FALSE)</f>
        <v>使用激光20次</v>
      </c>
      <c r="F131" s="9">
        <v>2</v>
      </c>
      <c r="G131" s="9">
        <v>4</v>
      </c>
      <c r="H131" s="9">
        <v>20</v>
      </c>
      <c r="I131">
        <v>0</v>
      </c>
      <c r="J131" t="s">
        <v>55</v>
      </c>
      <c r="K131" s="2">
        <v>0</v>
      </c>
    </row>
    <row r="132" spans="1:11" x14ac:dyDescent="0.15">
      <c r="A132" s="8">
        <v>202204</v>
      </c>
      <c r="B132" s="9">
        <v>1</v>
      </c>
      <c r="C132" s="8">
        <v>202205</v>
      </c>
      <c r="D132" s="10" t="str">
        <f>"quest_name_"&amp;表1[[#This Row],[任务ID]]</f>
        <v>quest_name_202204</v>
      </c>
      <c r="E132" s="10" t="str">
        <f>VLOOKUP(表1[[#This Row],[任务名称]],[1]!表1_8[#Data],2,FALSE)</f>
        <v>使用激光40次</v>
      </c>
      <c r="F132" s="9">
        <v>2</v>
      </c>
      <c r="G132" s="9">
        <v>4</v>
      </c>
      <c r="H132" s="9">
        <v>40</v>
      </c>
      <c r="I132">
        <v>0</v>
      </c>
      <c r="J132" t="s">
        <v>44</v>
      </c>
      <c r="K132" s="2">
        <v>0</v>
      </c>
    </row>
    <row r="133" spans="1:11" x14ac:dyDescent="0.15">
      <c r="A133" s="8">
        <v>202205</v>
      </c>
      <c r="B133" s="9">
        <v>1</v>
      </c>
      <c r="C133" s="8">
        <v>202206</v>
      </c>
      <c r="D133" s="10" t="str">
        <f>"quest_name_"&amp;表1[[#This Row],[任务ID]]</f>
        <v>quest_name_202205</v>
      </c>
      <c r="E133" s="10" t="str">
        <f>VLOOKUP(表1[[#This Row],[任务名称]],[1]!表1_8[#Data],2,FALSE)</f>
        <v>使用激光60次</v>
      </c>
      <c r="F133" s="9">
        <v>2</v>
      </c>
      <c r="G133" s="9">
        <v>4</v>
      </c>
      <c r="H133" s="9">
        <v>60</v>
      </c>
      <c r="I133">
        <v>0</v>
      </c>
      <c r="J133" t="s">
        <v>58</v>
      </c>
      <c r="K133" s="2">
        <v>0</v>
      </c>
    </row>
    <row r="134" spans="1:11" x14ac:dyDescent="0.15">
      <c r="A134" s="8">
        <v>202206</v>
      </c>
      <c r="B134" s="9">
        <v>1</v>
      </c>
      <c r="C134" s="8">
        <v>202207</v>
      </c>
      <c r="D134" s="10" t="str">
        <f>"quest_name_"&amp;表1[[#This Row],[任务ID]]</f>
        <v>quest_name_202206</v>
      </c>
      <c r="E134" s="10" t="str">
        <f>VLOOKUP(表1[[#This Row],[任务名称]],[1]!表1_8[#Data],2,FALSE)</f>
        <v>使用激光80次</v>
      </c>
      <c r="F134" s="9">
        <v>2</v>
      </c>
      <c r="G134" s="9">
        <v>4</v>
      </c>
      <c r="H134" s="9">
        <v>80</v>
      </c>
      <c r="I134">
        <v>0</v>
      </c>
      <c r="J134" t="s">
        <v>60</v>
      </c>
      <c r="K134" s="2">
        <v>0</v>
      </c>
    </row>
    <row r="135" spans="1:11" x14ac:dyDescent="0.15">
      <c r="A135" s="8">
        <v>202207</v>
      </c>
      <c r="B135" s="9">
        <v>1</v>
      </c>
      <c r="C135" s="8">
        <v>202208</v>
      </c>
      <c r="D135" s="10" t="str">
        <f>"quest_name_"&amp;表1[[#This Row],[任务ID]]</f>
        <v>quest_name_202207</v>
      </c>
      <c r="E135" s="10" t="str">
        <f>VLOOKUP(表1[[#This Row],[任务名称]],[1]!表1_8[#Data],2,FALSE)</f>
        <v>使用激光100次</v>
      </c>
      <c r="F135" s="9">
        <v>2</v>
      </c>
      <c r="G135" s="9">
        <v>4</v>
      </c>
      <c r="H135" s="9">
        <v>100</v>
      </c>
      <c r="I135">
        <v>0</v>
      </c>
      <c r="J135" t="s">
        <v>62</v>
      </c>
      <c r="K135" s="2">
        <v>0</v>
      </c>
    </row>
    <row r="136" spans="1:11" x14ac:dyDescent="0.15">
      <c r="A136" s="8">
        <v>202208</v>
      </c>
      <c r="B136" s="9">
        <v>1</v>
      </c>
      <c r="C136" s="8">
        <v>202209</v>
      </c>
      <c r="D136" s="10" t="str">
        <f>"quest_name_"&amp;表1[[#This Row],[任务ID]]</f>
        <v>quest_name_202208</v>
      </c>
      <c r="E136" s="10" t="str">
        <f>VLOOKUP(表1[[#This Row],[任务名称]],[1]!表1_8[#Data],2,FALSE)</f>
        <v>使用激光1000次</v>
      </c>
      <c r="F136" s="9">
        <v>2</v>
      </c>
      <c r="G136" s="9">
        <v>4</v>
      </c>
      <c r="H136" s="9">
        <v>1000</v>
      </c>
      <c r="I136">
        <v>0</v>
      </c>
      <c r="J136" t="s">
        <v>63</v>
      </c>
      <c r="K136" s="2">
        <v>0</v>
      </c>
    </row>
    <row r="137" spans="1:11" x14ac:dyDescent="0.15">
      <c r="A137" s="8">
        <v>202209</v>
      </c>
      <c r="B137" s="9">
        <v>1</v>
      </c>
      <c r="C137" s="8">
        <v>0</v>
      </c>
      <c r="D137" s="10" t="str">
        <f>"quest_name_"&amp;表1[[#This Row],[任务ID]]</f>
        <v>quest_name_202209</v>
      </c>
      <c r="E137" s="10" t="str">
        <f>VLOOKUP(表1[[#This Row],[任务名称]],[1]!表1_8[#Data],2,FALSE)</f>
        <v>使用激光10000次</v>
      </c>
      <c r="F137" s="9">
        <v>2</v>
      </c>
      <c r="G137" s="9">
        <v>4</v>
      </c>
      <c r="H137" s="9">
        <v>10000</v>
      </c>
      <c r="I137">
        <v>0</v>
      </c>
      <c r="J137" t="s">
        <v>64</v>
      </c>
      <c r="K137" s="2">
        <v>0</v>
      </c>
    </row>
    <row r="138" spans="1:11" x14ac:dyDescent="0.15">
      <c r="A138" s="8">
        <v>202300</v>
      </c>
      <c r="B138" s="9">
        <v>1</v>
      </c>
      <c r="C138" s="8">
        <v>202301</v>
      </c>
      <c r="D138" s="10" t="str">
        <f>"quest_name_"&amp;表1[[#This Row],[任务ID]]</f>
        <v>quest_name_202300</v>
      </c>
      <c r="E138" s="10" t="str">
        <f>VLOOKUP(表1[[#This Row],[任务名称]],[1]!表1_8[#Data],2,FALSE)</f>
        <v>使用青铜核弹10次</v>
      </c>
      <c r="F138" s="9">
        <v>2</v>
      </c>
      <c r="G138" s="9">
        <v>8</v>
      </c>
      <c r="H138" s="9">
        <v>10</v>
      </c>
      <c r="I138">
        <v>0</v>
      </c>
      <c r="J138" t="s">
        <v>49</v>
      </c>
      <c r="K138" s="2">
        <v>0</v>
      </c>
    </row>
    <row r="139" spans="1:11" x14ac:dyDescent="0.15">
      <c r="A139" s="8">
        <v>202301</v>
      </c>
      <c r="B139" s="9">
        <v>1</v>
      </c>
      <c r="C139" s="8">
        <v>202302</v>
      </c>
      <c r="D139" s="10" t="str">
        <f>"quest_name_"&amp;表1[[#This Row],[任务ID]]</f>
        <v>quest_name_202301</v>
      </c>
      <c r="E139" s="10" t="str">
        <f>VLOOKUP(表1[[#This Row],[任务名称]],[1]!表1_8[#Data],2,FALSE)</f>
        <v>使用青铜核弹50次</v>
      </c>
      <c r="F139" s="9">
        <v>2</v>
      </c>
      <c r="G139" s="9">
        <v>8</v>
      </c>
      <c r="H139" s="9">
        <v>50</v>
      </c>
      <c r="I139">
        <v>0</v>
      </c>
      <c r="J139" t="s">
        <v>51</v>
      </c>
      <c r="K139" s="2">
        <v>0</v>
      </c>
    </row>
    <row r="140" spans="1:11" x14ac:dyDescent="0.15">
      <c r="A140" s="8">
        <v>202302</v>
      </c>
      <c r="B140" s="9">
        <v>1</v>
      </c>
      <c r="C140" s="8">
        <v>202303</v>
      </c>
      <c r="D140" s="10" t="str">
        <f>"quest_name_"&amp;表1[[#This Row],[任务ID]]</f>
        <v>quest_name_202302</v>
      </c>
      <c r="E140" s="10" t="str">
        <f>VLOOKUP(表1[[#This Row],[任务名称]],[1]!表1_8[#Data],2,FALSE)</f>
        <v>使用青铜核弹100次</v>
      </c>
      <c r="F140" s="9">
        <v>2</v>
      </c>
      <c r="G140" s="9">
        <v>8</v>
      </c>
      <c r="H140" s="9">
        <v>100</v>
      </c>
      <c r="I140">
        <v>0</v>
      </c>
      <c r="J140" t="s">
        <v>53</v>
      </c>
      <c r="K140" s="2">
        <v>0</v>
      </c>
    </row>
    <row r="141" spans="1:11" x14ac:dyDescent="0.15">
      <c r="A141" s="8">
        <v>202303</v>
      </c>
      <c r="B141" s="9">
        <v>1</v>
      </c>
      <c r="C141" s="8">
        <v>202304</v>
      </c>
      <c r="D141" s="10" t="str">
        <f>"quest_name_"&amp;表1[[#This Row],[任务ID]]</f>
        <v>quest_name_202303</v>
      </c>
      <c r="E141" s="10" t="str">
        <f>VLOOKUP(表1[[#This Row],[任务名称]],[1]!表1_8[#Data],2,FALSE)</f>
        <v>使用青铜核弹150次</v>
      </c>
      <c r="F141" s="9">
        <v>2</v>
      </c>
      <c r="G141" s="9">
        <v>8</v>
      </c>
      <c r="H141" s="9">
        <v>150</v>
      </c>
      <c r="I141">
        <v>0</v>
      </c>
      <c r="J141" t="s">
        <v>55</v>
      </c>
      <c r="K141" s="2">
        <v>0</v>
      </c>
    </row>
    <row r="142" spans="1:11" x14ac:dyDescent="0.15">
      <c r="A142" s="8">
        <v>202304</v>
      </c>
      <c r="B142" s="9">
        <v>1</v>
      </c>
      <c r="C142" s="8">
        <v>202305</v>
      </c>
      <c r="D142" s="10" t="str">
        <f>"quest_name_"&amp;表1[[#This Row],[任务ID]]</f>
        <v>quest_name_202304</v>
      </c>
      <c r="E142" s="10" t="str">
        <f>VLOOKUP(表1[[#This Row],[任务名称]],[1]!表1_8[#Data],2,FALSE)</f>
        <v>使用青铜核弹200次</v>
      </c>
      <c r="F142" s="9">
        <v>2</v>
      </c>
      <c r="G142" s="9">
        <v>8</v>
      </c>
      <c r="H142" s="9">
        <v>200</v>
      </c>
      <c r="I142">
        <v>0</v>
      </c>
      <c r="J142" t="s">
        <v>44</v>
      </c>
      <c r="K142" s="2">
        <v>0</v>
      </c>
    </row>
    <row r="143" spans="1:11" x14ac:dyDescent="0.15">
      <c r="A143" s="8">
        <v>202305</v>
      </c>
      <c r="B143" s="9">
        <v>1</v>
      </c>
      <c r="C143" s="8">
        <v>202306</v>
      </c>
      <c r="D143" s="10" t="str">
        <f>"quest_name_"&amp;表1[[#This Row],[任务ID]]</f>
        <v>quest_name_202305</v>
      </c>
      <c r="E143" s="10" t="str">
        <f>VLOOKUP(表1[[#This Row],[任务名称]],[1]!表1_8[#Data],2,FALSE)</f>
        <v>使用青铜核弹300次</v>
      </c>
      <c r="F143" s="9">
        <v>2</v>
      </c>
      <c r="G143" s="9">
        <v>8</v>
      </c>
      <c r="H143" s="9">
        <v>300</v>
      </c>
      <c r="I143">
        <v>0</v>
      </c>
      <c r="J143" t="s">
        <v>58</v>
      </c>
      <c r="K143" s="2">
        <v>0</v>
      </c>
    </row>
    <row r="144" spans="1:11" x14ac:dyDescent="0.15">
      <c r="A144" s="8">
        <v>202306</v>
      </c>
      <c r="B144" s="9">
        <v>1</v>
      </c>
      <c r="C144" s="8">
        <v>202307</v>
      </c>
      <c r="D144" s="10" t="str">
        <f>"quest_name_"&amp;表1[[#This Row],[任务ID]]</f>
        <v>quest_name_202306</v>
      </c>
      <c r="E144" s="10" t="str">
        <f>VLOOKUP(表1[[#This Row],[任务名称]],[1]!表1_8[#Data],2,FALSE)</f>
        <v>使用青铜核弹400次</v>
      </c>
      <c r="F144" s="9">
        <v>2</v>
      </c>
      <c r="G144" s="9">
        <v>8</v>
      </c>
      <c r="H144" s="9">
        <v>400</v>
      </c>
      <c r="I144">
        <v>0</v>
      </c>
      <c r="J144" t="s">
        <v>60</v>
      </c>
      <c r="K144" s="2">
        <v>0</v>
      </c>
    </row>
    <row r="145" spans="1:11" x14ac:dyDescent="0.15">
      <c r="A145" s="8">
        <v>202307</v>
      </c>
      <c r="B145" s="9">
        <v>1</v>
      </c>
      <c r="C145" s="8">
        <v>202308</v>
      </c>
      <c r="D145" s="10" t="str">
        <f>"quest_name_"&amp;表1[[#This Row],[任务ID]]</f>
        <v>quest_name_202307</v>
      </c>
      <c r="E145" s="10" t="str">
        <f>VLOOKUP(表1[[#This Row],[任务名称]],[1]!表1_8[#Data],2,FALSE)</f>
        <v>使用青铜核弹500次</v>
      </c>
      <c r="F145" s="9">
        <v>2</v>
      </c>
      <c r="G145" s="9">
        <v>8</v>
      </c>
      <c r="H145" s="9">
        <v>500</v>
      </c>
      <c r="I145">
        <v>0</v>
      </c>
      <c r="J145" t="s">
        <v>62</v>
      </c>
      <c r="K145" s="2">
        <v>0</v>
      </c>
    </row>
    <row r="146" spans="1:11" x14ac:dyDescent="0.15">
      <c r="A146" s="8">
        <v>202308</v>
      </c>
      <c r="B146" s="9">
        <v>1</v>
      </c>
      <c r="C146" s="8">
        <v>202309</v>
      </c>
      <c r="D146" s="10" t="str">
        <f>"quest_name_"&amp;表1[[#This Row],[任务ID]]</f>
        <v>quest_name_202308</v>
      </c>
      <c r="E146" s="10" t="str">
        <f>VLOOKUP(表1[[#This Row],[任务名称]],[1]!表1_8[#Data],2,FALSE)</f>
        <v>使用青铜核弹600次</v>
      </c>
      <c r="F146" s="9">
        <v>2</v>
      </c>
      <c r="G146" s="9">
        <v>8</v>
      </c>
      <c r="H146" s="9">
        <v>600</v>
      </c>
      <c r="I146">
        <v>0</v>
      </c>
      <c r="J146" t="s">
        <v>63</v>
      </c>
      <c r="K146" s="2">
        <v>0</v>
      </c>
    </row>
    <row r="147" spans="1:11" x14ac:dyDescent="0.15">
      <c r="A147" s="8">
        <v>202309</v>
      </c>
      <c r="B147" s="9">
        <v>1</v>
      </c>
      <c r="C147" s="8">
        <v>202310</v>
      </c>
      <c r="D147" s="10" t="str">
        <f>"quest_name_"&amp;表1[[#This Row],[任务ID]]</f>
        <v>quest_name_202309</v>
      </c>
      <c r="E147" s="10" t="str">
        <f>VLOOKUP(表1[[#This Row],[任务名称]],[1]!表1_8[#Data],2,FALSE)</f>
        <v>使用青铜核弹1000次</v>
      </c>
      <c r="F147" s="9">
        <v>2</v>
      </c>
      <c r="G147" s="9">
        <v>8</v>
      </c>
      <c r="H147" s="9">
        <v>1000</v>
      </c>
      <c r="I147">
        <v>0</v>
      </c>
      <c r="J147" t="s">
        <v>64</v>
      </c>
      <c r="K147" s="2">
        <v>0</v>
      </c>
    </row>
    <row r="148" spans="1:11" x14ac:dyDescent="0.15">
      <c r="A148" s="8">
        <v>202310</v>
      </c>
      <c r="B148" s="9">
        <v>1</v>
      </c>
      <c r="C148" s="8">
        <v>0</v>
      </c>
      <c r="D148" s="10" t="str">
        <f>"quest_name_"&amp;表1[[#This Row],[任务ID]]</f>
        <v>quest_name_202310</v>
      </c>
      <c r="E148" s="10" t="str">
        <f>VLOOKUP(表1[[#This Row],[任务名称]],[1]!表1_8[#Data],2,FALSE)</f>
        <v>使用青铜弹头10000次</v>
      </c>
      <c r="F148" s="9">
        <v>2</v>
      </c>
      <c r="G148" s="9">
        <v>8</v>
      </c>
      <c r="H148" s="9">
        <v>10000</v>
      </c>
      <c r="I148">
        <v>0</v>
      </c>
      <c r="J148" t="s">
        <v>77</v>
      </c>
      <c r="K148" s="2">
        <v>0</v>
      </c>
    </row>
    <row r="149" spans="1:11" x14ac:dyDescent="0.15">
      <c r="A149" s="8">
        <v>202400</v>
      </c>
      <c r="B149" s="9">
        <v>1</v>
      </c>
      <c r="C149" s="8">
        <v>202401</v>
      </c>
      <c r="D149" s="10" t="str">
        <f>"quest_name_"&amp;表1[[#This Row],[任务ID]]</f>
        <v>quest_name_202400</v>
      </c>
      <c r="E149" s="10" t="str">
        <f>VLOOKUP(表1[[#This Row],[任务名称]],[1]!表1_8[#Data],2,FALSE)</f>
        <v>使用白银核弹1次</v>
      </c>
      <c r="F149" s="9">
        <v>2</v>
      </c>
      <c r="G149" s="9">
        <v>9</v>
      </c>
      <c r="H149" s="9">
        <v>1</v>
      </c>
      <c r="I149">
        <v>0</v>
      </c>
      <c r="J149" t="s">
        <v>188</v>
      </c>
      <c r="K149" s="2">
        <v>0</v>
      </c>
    </row>
    <row r="150" spans="1:11" x14ac:dyDescent="0.15">
      <c r="A150" s="8">
        <v>202401</v>
      </c>
      <c r="B150" s="9">
        <v>1</v>
      </c>
      <c r="C150" s="8">
        <v>202402</v>
      </c>
      <c r="D150" s="10" t="str">
        <f>"quest_name_"&amp;表1[[#This Row],[任务ID]]</f>
        <v>quest_name_202401</v>
      </c>
      <c r="E150" s="10" t="str">
        <f>VLOOKUP(表1[[#This Row],[任务名称]],[1]!表1_8[#Data],2,FALSE)</f>
        <v>使用白银核弹5次</v>
      </c>
      <c r="F150" s="9">
        <v>2</v>
      </c>
      <c r="G150" s="9">
        <v>9</v>
      </c>
      <c r="H150" s="9">
        <v>5</v>
      </c>
      <c r="I150">
        <v>0</v>
      </c>
      <c r="J150" t="s">
        <v>180</v>
      </c>
      <c r="K150" s="2">
        <v>0</v>
      </c>
    </row>
    <row r="151" spans="1:11" x14ac:dyDescent="0.15">
      <c r="A151" s="8">
        <v>202402</v>
      </c>
      <c r="B151" s="9">
        <v>1</v>
      </c>
      <c r="C151" s="8">
        <v>202403</v>
      </c>
      <c r="D151" s="10" t="str">
        <f>"quest_name_"&amp;表1[[#This Row],[任务ID]]</f>
        <v>quest_name_202402</v>
      </c>
      <c r="E151" s="10" t="str">
        <f>VLOOKUP(表1[[#This Row],[任务名称]],[1]!表1_8[#Data],2,FALSE)</f>
        <v>使用白银核弹10次</v>
      </c>
      <c r="F151" s="9">
        <v>2</v>
      </c>
      <c r="G151" s="9">
        <v>9</v>
      </c>
      <c r="H151" s="9">
        <v>10</v>
      </c>
      <c r="I151">
        <v>0</v>
      </c>
      <c r="J151" t="s">
        <v>189</v>
      </c>
      <c r="K151" s="2">
        <v>0</v>
      </c>
    </row>
    <row r="152" spans="1:11" x14ac:dyDescent="0.15">
      <c r="A152" s="8">
        <v>202403</v>
      </c>
      <c r="B152" s="9">
        <v>1</v>
      </c>
      <c r="C152" s="8">
        <v>202404</v>
      </c>
      <c r="D152" s="10" t="str">
        <f>"quest_name_"&amp;表1[[#This Row],[任务ID]]</f>
        <v>quest_name_202403</v>
      </c>
      <c r="E152" s="10" t="str">
        <f>VLOOKUP(表1[[#This Row],[任务名称]],[1]!表1_8[#Data],2,FALSE)</f>
        <v>使用白银核弹15次</v>
      </c>
      <c r="F152" s="9">
        <v>2</v>
      </c>
      <c r="G152" s="9">
        <v>9</v>
      </c>
      <c r="H152" s="9">
        <v>15</v>
      </c>
      <c r="I152">
        <v>0</v>
      </c>
      <c r="J152" t="s">
        <v>182</v>
      </c>
      <c r="K152" s="2">
        <v>0</v>
      </c>
    </row>
    <row r="153" spans="1:11" x14ac:dyDescent="0.15">
      <c r="A153" s="8">
        <v>202404</v>
      </c>
      <c r="B153" s="9">
        <v>1</v>
      </c>
      <c r="C153" s="8">
        <v>202405</v>
      </c>
      <c r="D153" s="10" t="str">
        <f>"quest_name_"&amp;表1[[#This Row],[任务ID]]</f>
        <v>quest_name_202404</v>
      </c>
      <c r="E153" s="10" t="str">
        <f>VLOOKUP(表1[[#This Row],[任务名称]],[1]!表1_8[#Data],2,FALSE)</f>
        <v>使用白银核弹20次</v>
      </c>
      <c r="F153" s="9">
        <v>2</v>
      </c>
      <c r="G153" s="9">
        <v>9</v>
      </c>
      <c r="H153" s="9">
        <v>20</v>
      </c>
      <c r="I153">
        <v>0</v>
      </c>
      <c r="J153" t="s">
        <v>190</v>
      </c>
      <c r="K153" s="2">
        <v>0</v>
      </c>
    </row>
    <row r="154" spans="1:11" x14ac:dyDescent="0.15">
      <c r="A154" s="8">
        <v>202405</v>
      </c>
      <c r="B154" s="9">
        <v>1</v>
      </c>
      <c r="C154" s="8">
        <v>202406</v>
      </c>
      <c r="D154" s="10" t="str">
        <f>"quest_name_"&amp;表1[[#This Row],[任务ID]]</f>
        <v>quest_name_202405</v>
      </c>
      <c r="E154" s="10" t="str">
        <f>VLOOKUP(表1[[#This Row],[任务名称]],[1]!表1_8[#Data],2,FALSE)</f>
        <v>使用白银核弹30次</v>
      </c>
      <c r="F154" s="9">
        <v>2</v>
      </c>
      <c r="G154" s="9">
        <v>9</v>
      </c>
      <c r="H154" s="9">
        <v>30</v>
      </c>
      <c r="I154">
        <v>0</v>
      </c>
      <c r="J154" t="s">
        <v>185</v>
      </c>
      <c r="K154" s="2">
        <v>0</v>
      </c>
    </row>
    <row r="155" spans="1:11" x14ac:dyDescent="0.15">
      <c r="A155" s="8">
        <v>202406</v>
      </c>
      <c r="B155" s="9">
        <v>1</v>
      </c>
      <c r="C155" s="8">
        <v>202407</v>
      </c>
      <c r="D155" s="10" t="str">
        <f>"quest_name_"&amp;表1[[#This Row],[任务ID]]</f>
        <v>quest_name_202406</v>
      </c>
      <c r="E155" s="10" t="str">
        <f>VLOOKUP(表1[[#This Row],[任务名称]],[1]!表1_8[#Data],2,FALSE)</f>
        <v>使用白银核弹40次</v>
      </c>
      <c r="F155" s="9">
        <v>2</v>
      </c>
      <c r="G155" s="9">
        <v>9</v>
      </c>
      <c r="H155" s="9">
        <v>40</v>
      </c>
      <c r="I155">
        <v>0</v>
      </c>
      <c r="J155" t="s">
        <v>191</v>
      </c>
      <c r="K155" s="2">
        <v>0</v>
      </c>
    </row>
    <row r="156" spans="1:11" x14ac:dyDescent="0.15">
      <c r="A156" s="8">
        <v>202407</v>
      </c>
      <c r="B156" s="9">
        <v>1</v>
      </c>
      <c r="C156" s="8">
        <v>202408</v>
      </c>
      <c r="D156" s="10" t="str">
        <f>"quest_name_"&amp;表1[[#This Row],[任务ID]]</f>
        <v>quest_name_202407</v>
      </c>
      <c r="E156" s="10" t="str">
        <f>VLOOKUP(表1[[#This Row],[任务名称]],[1]!表1_8[#Data],2,FALSE)</f>
        <v>使用白银核弹50次</v>
      </c>
      <c r="F156" s="9">
        <v>2</v>
      </c>
      <c r="G156" s="9">
        <v>9</v>
      </c>
      <c r="H156" s="9">
        <v>50</v>
      </c>
      <c r="I156">
        <v>0</v>
      </c>
      <c r="J156" t="s">
        <v>192</v>
      </c>
      <c r="K156" s="2">
        <v>0</v>
      </c>
    </row>
    <row r="157" spans="1:11" x14ac:dyDescent="0.15">
      <c r="A157" s="8">
        <v>202408</v>
      </c>
      <c r="B157" s="9">
        <v>1</v>
      </c>
      <c r="C157" s="8">
        <v>202409</v>
      </c>
      <c r="D157" s="10" t="str">
        <f>"quest_name_"&amp;表1[[#This Row],[任务ID]]</f>
        <v>quest_name_202408</v>
      </c>
      <c r="E157" s="10" t="str">
        <f>VLOOKUP(表1[[#This Row],[任务名称]],[1]!表1_8[#Data],2,FALSE)</f>
        <v>使用白银核弹60次</v>
      </c>
      <c r="F157" s="9">
        <v>2</v>
      </c>
      <c r="G157" s="9">
        <v>9</v>
      </c>
      <c r="H157" s="9">
        <v>60</v>
      </c>
      <c r="I157">
        <v>0</v>
      </c>
      <c r="J157" t="s">
        <v>193</v>
      </c>
      <c r="K157" s="2">
        <v>0</v>
      </c>
    </row>
    <row r="158" spans="1:11" x14ac:dyDescent="0.15">
      <c r="A158" s="8">
        <v>202409</v>
      </c>
      <c r="B158" s="9">
        <v>1</v>
      </c>
      <c r="C158" s="8">
        <v>202410</v>
      </c>
      <c r="D158" s="10" t="str">
        <f>"quest_name_"&amp;表1[[#This Row],[任务ID]]</f>
        <v>quest_name_202409</v>
      </c>
      <c r="E158" s="10" t="str">
        <f>VLOOKUP(表1[[#This Row],[任务名称]],[1]!表1_8[#Data],2,FALSE)</f>
        <v>使用白银核弹100次</v>
      </c>
      <c r="F158" s="9">
        <v>2</v>
      </c>
      <c r="G158" s="9">
        <v>9</v>
      </c>
      <c r="H158" s="9">
        <v>100</v>
      </c>
      <c r="I158">
        <v>0</v>
      </c>
      <c r="J158" t="s">
        <v>194</v>
      </c>
      <c r="K158" s="2">
        <v>0</v>
      </c>
    </row>
    <row r="159" spans="1:11" x14ac:dyDescent="0.15">
      <c r="A159" s="8">
        <v>202410</v>
      </c>
      <c r="B159" s="9">
        <v>1</v>
      </c>
      <c r="C159" s="8">
        <v>0</v>
      </c>
      <c r="D159" s="10" t="str">
        <f>"quest_name_"&amp;表1[[#This Row],[任务ID]]</f>
        <v>quest_name_202410</v>
      </c>
      <c r="E159" s="10" t="str">
        <f>VLOOKUP(表1[[#This Row],[任务名称]],[1]!表1_8[#Data],2,FALSE)</f>
        <v>使用白银核弹100次</v>
      </c>
      <c r="F159" s="9">
        <v>2</v>
      </c>
      <c r="G159" s="9">
        <v>9</v>
      </c>
      <c r="H159" s="9">
        <v>1000</v>
      </c>
      <c r="I159">
        <v>0</v>
      </c>
      <c r="J159" t="s">
        <v>195</v>
      </c>
      <c r="K159" s="2">
        <v>0</v>
      </c>
    </row>
    <row r="160" spans="1:11" x14ac:dyDescent="0.15">
      <c r="A160" s="8">
        <v>202500</v>
      </c>
      <c r="B160" s="9">
        <v>1</v>
      </c>
      <c r="C160" s="8">
        <v>202501</v>
      </c>
      <c r="D160" s="10" t="str">
        <f>"quest_name_"&amp;表1[[#This Row],[任务ID]]</f>
        <v>quest_name_202500</v>
      </c>
      <c r="E160" s="10" t="str">
        <f>VLOOKUP(表1[[#This Row],[任务名称]],[1]!表1_8[#Data],2,FALSE)</f>
        <v>使用黄金核弹1次</v>
      </c>
      <c r="F160" s="9">
        <v>2</v>
      </c>
      <c r="G160" s="9">
        <v>10</v>
      </c>
      <c r="H160" s="9">
        <v>1</v>
      </c>
      <c r="I160">
        <v>0</v>
      </c>
      <c r="J160" t="s">
        <v>179</v>
      </c>
      <c r="K160" s="2">
        <v>0</v>
      </c>
    </row>
    <row r="161" spans="1:11" x14ac:dyDescent="0.15">
      <c r="A161" s="8">
        <v>202501</v>
      </c>
      <c r="B161" s="9">
        <v>1</v>
      </c>
      <c r="C161" s="8">
        <v>202502</v>
      </c>
      <c r="D161" s="10" t="str">
        <f>"quest_name_"&amp;表1[[#This Row],[任务ID]]</f>
        <v>quest_name_202501</v>
      </c>
      <c r="E161" s="10" t="str">
        <f>VLOOKUP(表1[[#This Row],[任务名称]],[1]!表1_8[#Data],2,FALSE)</f>
        <v>使用黄金核弹5次</v>
      </c>
      <c r="F161" s="9">
        <v>2</v>
      </c>
      <c r="G161" s="9">
        <v>10</v>
      </c>
      <c r="H161" s="9">
        <v>5</v>
      </c>
      <c r="I161">
        <v>0</v>
      </c>
      <c r="J161" t="s">
        <v>181</v>
      </c>
      <c r="K161" s="2">
        <v>0</v>
      </c>
    </row>
    <row r="162" spans="1:11" x14ac:dyDescent="0.15">
      <c r="A162" s="8">
        <v>202502</v>
      </c>
      <c r="B162" s="9">
        <v>1</v>
      </c>
      <c r="C162" s="8">
        <v>202503</v>
      </c>
      <c r="D162" s="10" t="str">
        <f>"quest_name_"&amp;表1[[#This Row],[任务ID]]</f>
        <v>quest_name_202502</v>
      </c>
      <c r="E162" s="10" t="str">
        <f>VLOOKUP(表1[[#This Row],[任务名称]],[1]!表1_8[#Data],2,FALSE)</f>
        <v>使用黄金核弹10次</v>
      </c>
      <c r="F162" s="9">
        <v>2</v>
      </c>
      <c r="G162" s="9">
        <v>10</v>
      </c>
      <c r="H162" s="9">
        <v>10</v>
      </c>
      <c r="I162">
        <v>0</v>
      </c>
      <c r="J162" t="s">
        <v>182</v>
      </c>
      <c r="K162" s="2">
        <v>0</v>
      </c>
    </row>
    <row r="163" spans="1:11" x14ac:dyDescent="0.15">
      <c r="A163" s="8">
        <v>202503</v>
      </c>
      <c r="B163" s="9">
        <v>1</v>
      </c>
      <c r="C163" s="8">
        <v>202504</v>
      </c>
      <c r="D163" s="10" t="str">
        <f>"quest_name_"&amp;表1[[#This Row],[任务ID]]</f>
        <v>quest_name_202503</v>
      </c>
      <c r="E163" s="10" t="str">
        <f>VLOOKUP(表1[[#This Row],[任务名称]],[1]!表1_8[#Data],2,FALSE)</f>
        <v>使用黄金核弹15次</v>
      </c>
      <c r="F163" s="9">
        <v>2</v>
      </c>
      <c r="G163" s="9">
        <v>10</v>
      </c>
      <c r="H163" s="9">
        <v>15</v>
      </c>
      <c r="I163">
        <v>0</v>
      </c>
      <c r="J163" t="s">
        <v>184</v>
      </c>
      <c r="K163" s="2">
        <v>0</v>
      </c>
    </row>
    <row r="164" spans="1:11" x14ac:dyDescent="0.15">
      <c r="A164" s="8">
        <v>202504</v>
      </c>
      <c r="B164" s="9">
        <v>1</v>
      </c>
      <c r="C164" s="8">
        <v>202505</v>
      </c>
      <c r="D164" s="10" t="str">
        <f>"quest_name_"&amp;表1[[#This Row],[任务ID]]</f>
        <v>quest_name_202504</v>
      </c>
      <c r="E164" s="10" t="str">
        <f>VLOOKUP(表1[[#This Row],[任务名称]],[1]!表1_8[#Data],2,FALSE)</f>
        <v>使用黄金核弹20次</v>
      </c>
      <c r="F164" s="9">
        <v>2</v>
      </c>
      <c r="G164" s="9">
        <v>10</v>
      </c>
      <c r="H164" s="9">
        <v>20</v>
      </c>
      <c r="I164">
        <v>0</v>
      </c>
      <c r="J164" t="s">
        <v>186</v>
      </c>
      <c r="K164" s="2">
        <v>0</v>
      </c>
    </row>
    <row r="165" spans="1:11" x14ac:dyDescent="0.15">
      <c r="A165" s="8">
        <v>202505</v>
      </c>
      <c r="B165" s="9">
        <v>1</v>
      </c>
      <c r="C165" s="8">
        <v>202506</v>
      </c>
      <c r="D165" s="10" t="str">
        <f>"quest_name_"&amp;表1[[#This Row],[任务ID]]</f>
        <v>quest_name_202505</v>
      </c>
      <c r="E165" s="10" t="str">
        <f>VLOOKUP(表1[[#This Row],[任务名称]],[1]!表1_8[#Data],2,FALSE)</f>
        <v>使用黄金核弹30次</v>
      </c>
      <c r="F165" s="9">
        <v>2</v>
      </c>
      <c r="G165" s="9">
        <v>10</v>
      </c>
      <c r="H165" s="9">
        <v>30</v>
      </c>
      <c r="I165">
        <v>0</v>
      </c>
      <c r="J165" t="s">
        <v>192</v>
      </c>
      <c r="K165" s="2">
        <v>0</v>
      </c>
    </row>
    <row r="166" spans="1:11" x14ac:dyDescent="0.15">
      <c r="A166" s="8">
        <v>202506</v>
      </c>
      <c r="B166" s="9">
        <v>1</v>
      </c>
      <c r="C166" s="8">
        <v>202507</v>
      </c>
      <c r="D166" s="10" t="str">
        <f>"quest_name_"&amp;表1[[#This Row],[任务ID]]</f>
        <v>quest_name_202506</v>
      </c>
      <c r="E166" s="10" t="str">
        <f>VLOOKUP(表1[[#This Row],[任务名称]],[1]!表1_8[#Data],2,FALSE)</f>
        <v>使用黄金核弹40次</v>
      </c>
      <c r="F166" s="9">
        <v>2</v>
      </c>
      <c r="G166" s="9">
        <v>10</v>
      </c>
      <c r="H166" s="9">
        <v>40</v>
      </c>
      <c r="I166">
        <v>0</v>
      </c>
      <c r="J166" t="s">
        <v>196</v>
      </c>
      <c r="K166" s="2">
        <v>0</v>
      </c>
    </row>
    <row r="167" spans="1:11" x14ac:dyDescent="0.15">
      <c r="A167" s="8">
        <v>202507</v>
      </c>
      <c r="B167" s="9">
        <v>1</v>
      </c>
      <c r="C167" s="8">
        <v>202508</v>
      </c>
      <c r="D167" s="10" t="str">
        <f>"quest_name_"&amp;表1[[#This Row],[任务ID]]</f>
        <v>quest_name_202507</v>
      </c>
      <c r="E167" s="10" t="str">
        <f>VLOOKUP(表1[[#This Row],[任务名称]],[1]!表1_8[#Data],2,FALSE)</f>
        <v>使用黄金核弹50次</v>
      </c>
      <c r="F167" s="9">
        <v>2</v>
      </c>
      <c r="G167" s="9">
        <v>10</v>
      </c>
      <c r="H167" s="9">
        <v>50</v>
      </c>
      <c r="I167">
        <v>0</v>
      </c>
      <c r="J167" t="s">
        <v>197</v>
      </c>
      <c r="K167" s="2">
        <v>0</v>
      </c>
    </row>
    <row r="168" spans="1:11" x14ac:dyDescent="0.15">
      <c r="A168" s="8">
        <v>202508</v>
      </c>
      <c r="B168" s="9">
        <v>1</v>
      </c>
      <c r="C168" s="8">
        <v>202509</v>
      </c>
      <c r="D168" s="10" t="str">
        <f>"quest_name_"&amp;表1[[#This Row],[任务ID]]</f>
        <v>quest_name_202508</v>
      </c>
      <c r="E168" s="10" t="str">
        <f>VLOOKUP(表1[[#This Row],[任务名称]],[1]!表1_8[#Data],2,FALSE)</f>
        <v>使用黄金核弹60次</v>
      </c>
      <c r="F168" s="9">
        <v>2</v>
      </c>
      <c r="G168" s="9">
        <v>10</v>
      </c>
      <c r="H168" s="9">
        <v>60</v>
      </c>
      <c r="I168">
        <v>0</v>
      </c>
      <c r="J168" t="s">
        <v>198</v>
      </c>
      <c r="K168" s="2">
        <v>0</v>
      </c>
    </row>
    <row r="169" spans="1:11" x14ac:dyDescent="0.15">
      <c r="A169" s="8">
        <v>202509</v>
      </c>
      <c r="B169" s="9">
        <v>1</v>
      </c>
      <c r="C169" s="8">
        <v>202510</v>
      </c>
      <c r="D169" s="10" t="str">
        <f>"quest_name_"&amp;表1[[#This Row],[任务ID]]</f>
        <v>quest_name_202509</v>
      </c>
      <c r="E169" s="10" t="str">
        <f>VLOOKUP(表1[[#This Row],[任务名称]],[1]!表1_8[#Data],2,FALSE)</f>
        <v>使用黄金核弹100次</v>
      </c>
      <c r="F169" s="9">
        <v>2</v>
      </c>
      <c r="G169" s="9">
        <v>10</v>
      </c>
      <c r="H169" s="9">
        <v>100</v>
      </c>
      <c r="I169">
        <v>0</v>
      </c>
      <c r="J169" t="s">
        <v>199</v>
      </c>
      <c r="K169" s="2">
        <v>0</v>
      </c>
    </row>
    <row r="170" spans="1:11" x14ac:dyDescent="0.15">
      <c r="A170" s="8">
        <v>202510</v>
      </c>
      <c r="B170" s="9">
        <v>1</v>
      </c>
      <c r="C170" s="8">
        <v>0</v>
      </c>
      <c r="D170" s="10" t="str">
        <f>"quest_name_"&amp;表1[[#This Row],[任务ID]]</f>
        <v>quest_name_202510</v>
      </c>
      <c r="E170" s="10" t="str">
        <f>VLOOKUP(表1[[#This Row],[任务名称]],[1]!表1_8[#Data],2,FALSE)</f>
        <v>使用黄金核弹1000次</v>
      </c>
      <c r="F170" s="9">
        <v>2</v>
      </c>
      <c r="G170" s="9">
        <v>10</v>
      </c>
      <c r="H170" s="9">
        <v>1000</v>
      </c>
      <c r="I170">
        <v>0</v>
      </c>
      <c r="J170" t="s">
        <v>200</v>
      </c>
      <c r="K170" s="2">
        <v>0</v>
      </c>
    </row>
    <row r="171" spans="1:11" x14ac:dyDescent="0.15">
      <c r="A171" s="8">
        <v>203000</v>
      </c>
      <c r="B171" s="9">
        <v>1</v>
      </c>
      <c r="C171" s="8">
        <v>203001</v>
      </c>
      <c r="D171" s="10" t="str">
        <f>"quest_name_"&amp;表1[[#This Row],[任务ID]]</f>
        <v>quest_name_203000</v>
      </c>
      <c r="E171" s="10" t="str">
        <f>VLOOKUP(表1[[#This Row],[任务名称]],[1]!表1_8[#Data],2,FALSE)</f>
        <v>角色等级2级</v>
      </c>
      <c r="F171" s="9">
        <v>3</v>
      </c>
      <c r="G171" s="9">
        <v>0</v>
      </c>
      <c r="H171" s="9">
        <v>2</v>
      </c>
      <c r="I171">
        <v>0</v>
      </c>
      <c r="J171" t="s">
        <v>48</v>
      </c>
      <c r="K171" s="2">
        <v>0</v>
      </c>
    </row>
    <row r="172" spans="1:11" x14ac:dyDescent="0.15">
      <c r="A172" s="8">
        <v>203001</v>
      </c>
      <c r="B172" s="9">
        <v>1</v>
      </c>
      <c r="C172" s="8">
        <v>203002</v>
      </c>
      <c r="D172" s="10" t="str">
        <f>"quest_name_"&amp;表1[[#This Row],[任务ID]]</f>
        <v>quest_name_203001</v>
      </c>
      <c r="E172" s="10" t="str">
        <f>VLOOKUP(表1[[#This Row],[任务名称]],[1]!表1_8[#Data],2,FALSE)</f>
        <v>角色等级4级</v>
      </c>
      <c r="F172" s="9">
        <v>3</v>
      </c>
      <c r="G172" s="9">
        <v>0</v>
      </c>
      <c r="H172" s="9">
        <v>4</v>
      </c>
      <c r="I172">
        <v>0</v>
      </c>
      <c r="J172" t="s">
        <v>48</v>
      </c>
      <c r="K172" s="2">
        <v>0</v>
      </c>
    </row>
    <row r="173" spans="1:11" x14ac:dyDescent="0.15">
      <c r="A173" s="8">
        <v>203002</v>
      </c>
      <c r="B173" s="9">
        <v>1</v>
      </c>
      <c r="C173" s="8">
        <v>203003</v>
      </c>
      <c r="D173" s="10" t="str">
        <f>"quest_name_"&amp;表1[[#This Row],[任务ID]]</f>
        <v>quest_name_203002</v>
      </c>
      <c r="E173" s="10" t="str">
        <f>VLOOKUP(表1[[#This Row],[任务名称]],[1]!表1_8[#Data],2,FALSE)</f>
        <v>角色等级6级</v>
      </c>
      <c r="F173" s="9">
        <v>3</v>
      </c>
      <c r="G173" s="9">
        <v>0</v>
      </c>
      <c r="H173" s="9">
        <v>6</v>
      </c>
      <c r="I173">
        <v>0</v>
      </c>
      <c r="J173" t="s">
        <v>48</v>
      </c>
      <c r="K173" s="2">
        <v>0</v>
      </c>
    </row>
    <row r="174" spans="1:11" x14ac:dyDescent="0.15">
      <c r="A174" s="8">
        <v>203003</v>
      </c>
      <c r="B174" s="9">
        <v>1</v>
      </c>
      <c r="C174" s="8">
        <v>203004</v>
      </c>
      <c r="D174" s="10" t="str">
        <f>"quest_name_"&amp;表1[[#This Row],[任务ID]]</f>
        <v>quest_name_203003</v>
      </c>
      <c r="E174" s="10" t="str">
        <f>VLOOKUP(表1[[#This Row],[任务名称]],[1]!表1_8[#Data],2,FALSE)</f>
        <v>角色等级8级</v>
      </c>
      <c r="F174" s="9">
        <v>3</v>
      </c>
      <c r="G174" s="9">
        <v>0</v>
      </c>
      <c r="H174" s="9">
        <v>8</v>
      </c>
      <c r="I174">
        <v>0</v>
      </c>
      <c r="J174" t="s">
        <v>48</v>
      </c>
      <c r="K174" s="2">
        <v>0</v>
      </c>
    </row>
    <row r="175" spans="1:11" x14ac:dyDescent="0.15">
      <c r="A175" s="8">
        <v>203004</v>
      </c>
      <c r="B175" s="9">
        <v>1</v>
      </c>
      <c r="C175" s="8">
        <v>203005</v>
      </c>
      <c r="D175" s="10" t="str">
        <f>"quest_name_"&amp;表1[[#This Row],[任务ID]]</f>
        <v>quest_name_203004</v>
      </c>
      <c r="E175" s="10" t="str">
        <f>VLOOKUP(表1[[#This Row],[任务名称]],[1]!表1_8[#Data],2,FALSE)</f>
        <v>角色等级10级</v>
      </c>
      <c r="F175" s="9">
        <v>3</v>
      </c>
      <c r="G175" s="9">
        <v>0</v>
      </c>
      <c r="H175" s="9">
        <v>10</v>
      </c>
      <c r="I175">
        <v>0</v>
      </c>
      <c r="J175" t="s">
        <v>48</v>
      </c>
      <c r="K175" s="2">
        <v>0</v>
      </c>
    </row>
    <row r="176" spans="1:11" x14ac:dyDescent="0.15">
      <c r="A176" s="8">
        <v>203005</v>
      </c>
      <c r="B176" s="9">
        <v>1</v>
      </c>
      <c r="C176" s="8">
        <v>203006</v>
      </c>
      <c r="D176" s="10" t="str">
        <f>"quest_name_"&amp;表1[[#This Row],[任务ID]]</f>
        <v>quest_name_203005</v>
      </c>
      <c r="E176" s="10" t="str">
        <f>VLOOKUP(表1[[#This Row],[任务名称]],[1]!表1_8[#Data],2,FALSE)</f>
        <v>角色等级12级</v>
      </c>
      <c r="F176" s="9">
        <v>3</v>
      </c>
      <c r="G176" s="9">
        <v>0</v>
      </c>
      <c r="H176" s="9">
        <v>12</v>
      </c>
      <c r="I176">
        <v>0</v>
      </c>
      <c r="J176" t="s">
        <v>48</v>
      </c>
      <c r="K176" s="2">
        <v>0</v>
      </c>
    </row>
    <row r="177" spans="1:11" x14ac:dyDescent="0.15">
      <c r="A177" s="8">
        <v>203006</v>
      </c>
      <c r="B177" s="9">
        <v>1</v>
      </c>
      <c r="C177" s="8">
        <v>203007</v>
      </c>
      <c r="D177" s="10" t="str">
        <f>"quest_name_"&amp;表1[[#This Row],[任务ID]]</f>
        <v>quest_name_203006</v>
      </c>
      <c r="E177" s="10" t="str">
        <f>VLOOKUP(表1[[#This Row],[任务名称]],[1]!表1_8[#Data],2,FALSE)</f>
        <v>角色等级14级</v>
      </c>
      <c r="F177" s="9">
        <v>3</v>
      </c>
      <c r="G177" s="9">
        <v>0</v>
      </c>
      <c r="H177" s="9">
        <v>14</v>
      </c>
      <c r="I177">
        <v>0</v>
      </c>
      <c r="J177" t="s">
        <v>48</v>
      </c>
      <c r="K177" s="2">
        <v>0</v>
      </c>
    </row>
    <row r="178" spans="1:11" x14ac:dyDescent="0.15">
      <c r="A178" s="8">
        <v>203007</v>
      </c>
      <c r="B178" s="9">
        <v>1</v>
      </c>
      <c r="C178" s="8">
        <v>203008</v>
      </c>
      <c r="D178" s="10" t="str">
        <f>"quest_name_"&amp;表1[[#This Row],[任务ID]]</f>
        <v>quest_name_203007</v>
      </c>
      <c r="E178" s="10" t="str">
        <f>VLOOKUP(表1[[#This Row],[任务名称]],[1]!表1_8[#Data],2,FALSE)</f>
        <v>角色等级16级</v>
      </c>
      <c r="F178" s="9">
        <v>3</v>
      </c>
      <c r="G178" s="9">
        <v>0</v>
      </c>
      <c r="H178" s="9">
        <v>16</v>
      </c>
      <c r="I178">
        <v>0</v>
      </c>
      <c r="J178" t="s">
        <v>49</v>
      </c>
      <c r="K178" s="2">
        <v>0</v>
      </c>
    </row>
    <row r="179" spans="1:11" x14ac:dyDescent="0.15">
      <c r="A179" s="8">
        <v>203008</v>
      </c>
      <c r="B179" s="9">
        <v>1</v>
      </c>
      <c r="C179" s="8">
        <v>203009</v>
      </c>
      <c r="D179" s="10" t="str">
        <f>"quest_name_"&amp;表1[[#This Row],[任务ID]]</f>
        <v>quest_name_203008</v>
      </c>
      <c r="E179" s="10" t="str">
        <f>VLOOKUP(表1[[#This Row],[任务名称]],[1]!表1_8[#Data],2,FALSE)</f>
        <v>角色等级18级</v>
      </c>
      <c r="F179" s="9">
        <v>3</v>
      </c>
      <c r="G179" s="9">
        <v>0</v>
      </c>
      <c r="H179" s="9">
        <v>18</v>
      </c>
      <c r="I179">
        <v>0</v>
      </c>
      <c r="J179" t="s">
        <v>50</v>
      </c>
      <c r="K179" s="2">
        <v>0</v>
      </c>
    </row>
    <row r="180" spans="1:11" x14ac:dyDescent="0.15">
      <c r="A180" s="8">
        <v>203009</v>
      </c>
      <c r="B180" s="9">
        <v>1</v>
      </c>
      <c r="C180" s="8">
        <v>203010</v>
      </c>
      <c r="D180" s="10" t="str">
        <f>"quest_name_"&amp;表1[[#This Row],[任务ID]]</f>
        <v>quest_name_203009</v>
      </c>
      <c r="E180" s="10" t="str">
        <f>VLOOKUP(表1[[#This Row],[任务名称]],[1]!表1_8[#Data],2,FALSE)</f>
        <v>角色等级20级</v>
      </c>
      <c r="F180" s="9">
        <v>3</v>
      </c>
      <c r="G180" s="9">
        <v>0</v>
      </c>
      <c r="H180" s="9">
        <v>20</v>
      </c>
      <c r="I180">
        <v>0</v>
      </c>
      <c r="J180" t="s">
        <v>51</v>
      </c>
      <c r="K180" s="2">
        <v>0</v>
      </c>
    </row>
    <row r="181" spans="1:11" x14ac:dyDescent="0.15">
      <c r="A181" s="8">
        <v>203010</v>
      </c>
      <c r="B181" s="9">
        <v>1</v>
      </c>
      <c r="C181" s="8">
        <v>203011</v>
      </c>
      <c r="D181" s="10" t="str">
        <f>"quest_name_"&amp;表1[[#This Row],[任务ID]]</f>
        <v>quest_name_203010</v>
      </c>
      <c r="E181" s="10" t="str">
        <f>VLOOKUP(表1[[#This Row],[任务名称]],[1]!表1_8[#Data],2,FALSE)</f>
        <v>角色等级22级</v>
      </c>
      <c r="F181" s="9">
        <v>3</v>
      </c>
      <c r="G181" s="9">
        <v>0</v>
      </c>
      <c r="H181" s="9">
        <v>22</v>
      </c>
      <c r="I181">
        <v>0</v>
      </c>
      <c r="J181" t="s">
        <v>52</v>
      </c>
      <c r="K181" s="2">
        <v>0</v>
      </c>
    </row>
    <row r="182" spans="1:11" x14ac:dyDescent="0.15">
      <c r="A182" s="8">
        <v>203011</v>
      </c>
      <c r="B182" s="9">
        <v>1</v>
      </c>
      <c r="C182" s="8">
        <v>203012</v>
      </c>
      <c r="D182" s="10" t="str">
        <f>"quest_name_"&amp;表1[[#This Row],[任务ID]]</f>
        <v>quest_name_203011</v>
      </c>
      <c r="E182" s="10" t="str">
        <f>VLOOKUP(表1[[#This Row],[任务名称]],[1]!表1_8[#Data],2,FALSE)</f>
        <v>角色等级24级</v>
      </c>
      <c r="F182" s="9">
        <v>3</v>
      </c>
      <c r="G182" s="9">
        <v>0</v>
      </c>
      <c r="H182" s="9">
        <v>24</v>
      </c>
      <c r="I182">
        <v>0</v>
      </c>
      <c r="J182" t="s">
        <v>53</v>
      </c>
      <c r="K182" s="2">
        <v>0</v>
      </c>
    </row>
    <row r="183" spans="1:11" x14ac:dyDescent="0.15">
      <c r="A183" s="8">
        <v>203012</v>
      </c>
      <c r="B183" s="9">
        <v>1</v>
      </c>
      <c r="C183" s="8">
        <v>203013</v>
      </c>
      <c r="D183" s="10" t="str">
        <f>"quest_name_"&amp;表1[[#This Row],[任务ID]]</f>
        <v>quest_name_203012</v>
      </c>
      <c r="E183" s="10" t="str">
        <f>VLOOKUP(表1[[#This Row],[任务名称]],[1]!表1_8[#Data],2,FALSE)</f>
        <v>角色等级26级</v>
      </c>
      <c r="F183" s="9">
        <v>3</v>
      </c>
      <c r="G183" s="9">
        <v>0</v>
      </c>
      <c r="H183" s="9">
        <v>26</v>
      </c>
      <c r="I183">
        <v>0</v>
      </c>
      <c r="J183" t="s">
        <v>54</v>
      </c>
      <c r="K183" s="2">
        <v>0</v>
      </c>
    </row>
    <row r="184" spans="1:11" x14ac:dyDescent="0.15">
      <c r="A184" s="8">
        <v>203013</v>
      </c>
      <c r="B184" s="9">
        <v>1</v>
      </c>
      <c r="C184" s="8">
        <v>203014</v>
      </c>
      <c r="D184" s="10" t="str">
        <f>"quest_name_"&amp;表1[[#This Row],[任务ID]]</f>
        <v>quest_name_203013</v>
      </c>
      <c r="E184" s="10" t="str">
        <f>VLOOKUP(表1[[#This Row],[任务名称]],[1]!表1_8[#Data],2,FALSE)</f>
        <v>角色等级28级</v>
      </c>
      <c r="F184" s="9">
        <v>3</v>
      </c>
      <c r="G184" s="9">
        <v>0</v>
      </c>
      <c r="H184" s="9">
        <v>28</v>
      </c>
      <c r="I184">
        <v>0</v>
      </c>
      <c r="J184" t="s">
        <v>55</v>
      </c>
      <c r="K184" s="2">
        <v>0</v>
      </c>
    </row>
    <row r="185" spans="1:11" x14ac:dyDescent="0.15">
      <c r="A185" s="8">
        <v>203014</v>
      </c>
      <c r="B185" s="9">
        <v>1</v>
      </c>
      <c r="C185" s="8">
        <v>203015</v>
      </c>
      <c r="D185" s="10" t="str">
        <f>"quest_name_"&amp;表1[[#This Row],[任务ID]]</f>
        <v>quest_name_203014</v>
      </c>
      <c r="E185" s="10" t="str">
        <f>VLOOKUP(表1[[#This Row],[任务名称]],[1]!表1_8[#Data],2,FALSE)</f>
        <v>角色等级30级</v>
      </c>
      <c r="F185" s="9">
        <v>3</v>
      </c>
      <c r="G185" s="9">
        <v>0</v>
      </c>
      <c r="H185" s="9">
        <v>30</v>
      </c>
      <c r="I185">
        <v>0</v>
      </c>
      <c r="J185" t="s">
        <v>56</v>
      </c>
      <c r="K185" s="2">
        <v>0</v>
      </c>
    </row>
    <row r="186" spans="1:11" x14ac:dyDescent="0.15">
      <c r="A186" s="8">
        <v>203015</v>
      </c>
      <c r="B186" s="9">
        <v>1</v>
      </c>
      <c r="C186" s="8">
        <v>203016</v>
      </c>
      <c r="D186" s="10" t="str">
        <f>"quest_name_"&amp;表1[[#This Row],[任务ID]]</f>
        <v>quest_name_203015</v>
      </c>
      <c r="E186" s="10" t="str">
        <f>VLOOKUP(表1[[#This Row],[任务名称]],[1]!表1_8[#Data],2,FALSE)</f>
        <v>角色等级32级</v>
      </c>
      <c r="F186" s="9">
        <v>3</v>
      </c>
      <c r="G186" s="9">
        <v>0</v>
      </c>
      <c r="H186" s="9">
        <v>32</v>
      </c>
      <c r="I186">
        <v>0</v>
      </c>
      <c r="J186" t="s">
        <v>44</v>
      </c>
      <c r="K186" s="2">
        <v>0</v>
      </c>
    </row>
    <row r="187" spans="1:11" x14ac:dyDescent="0.15">
      <c r="A187" s="8">
        <v>203016</v>
      </c>
      <c r="B187" s="9">
        <v>1</v>
      </c>
      <c r="C187" s="8">
        <v>203017</v>
      </c>
      <c r="D187" s="10" t="str">
        <f>"quest_name_"&amp;表1[[#This Row],[任务ID]]</f>
        <v>quest_name_203016</v>
      </c>
      <c r="E187" s="10" t="str">
        <f>VLOOKUP(表1[[#This Row],[任务名称]],[1]!表1_8[#Data],2,FALSE)</f>
        <v>角色等级34级</v>
      </c>
      <c r="F187" s="9">
        <v>3</v>
      </c>
      <c r="G187" s="9">
        <v>0</v>
      </c>
      <c r="H187" s="9">
        <v>34</v>
      </c>
      <c r="I187">
        <v>0</v>
      </c>
      <c r="J187" t="s">
        <v>57</v>
      </c>
      <c r="K187" s="2">
        <v>0</v>
      </c>
    </row>
    <row r="188" spans="1:11" x14ac:dyDescent="0.15">
      <c r="A188" s="8">
        <v>203017</v>
      </c>
      <c r="B188" s="9">
        <v>1</v>
      </c>
      <c r="C188" s="8">
        <v>203018</v>
      </c>
      <c r="D188" s="10" t="str">
        <f>"quest_name_"&amp;表1[[#This Row],[任务ID]]</f>
        <v>quest_name_203017</v>
      </c>
      <c r="E188" s="10" t="str">
        <f>VLOOKUP(表1[[#This Row],[任务名称]],[1]!表1_8[#Data],2,FALSE)</f>
        <v>角色等级36级</v>
      </c>
      <c r="F188" s="9">
        <v>3</v>
      </c>
      <c r="G188" s="9">
        <v>0</v>
      </c>
      <c r="H188" s="9">
        <v>36</v>
      </c>
      <c r="I188">
        <v>0</v>
      </c>
      <c r="J188" t="s">
        <v>58</v>
      </c>
      <c r="K188" s="2">
        <v>0</v>
      </c>
    </row>
    <row r="189" spans="1:11" x14ac:dyDescent="0.15">
      <c r="A189" s="8">
        <v>203018</v>
      </c>
      <c r="B189" s="9">
        <v>1</v>
      </c>
      <c r="C189" s="8">
        <v>203019</v>
      </c>
      <c r="D189" s="10" t="str">
        <f>"quest_name_"&amp;表1[[#This Row],[任务ID]]</f>
        <v>quest_name_203018</v>
      </c>
      <c r="E189" s="10" t="str">
        <f>VLOOKUP(表1[[#This Row],[任务名称]],[1]!表1_8[#Data],2,FALSE)</f>
        <v>角色等级38级</v>
      </c>
      <c r="F189" s="9">
        <v>3</v>
      </c>
      <c r="G189" s="9">
        <v>0</v>
      </c>
      <c r="H189" s="9">
        <v>38</v>
      </c>
      <c r="I189">
        <v>0</v>
      </c>
      <c r="J189" t="s">
        <v>59</v>
      </c>
      <c r="K189" s="2">
        <v>0</v>
      </c>
    </row>
    <row r="190" spans="1:11" x14ac:dyDescent="0.15">
      <c r="A190" s="8">
        <v>203019</v>
      </c>
      <c r="B190" s="9">
        <v>1</v>
      </c>
      <c r="C190" s="8">
        <v>203020</v>
      </c>
      <c r="D190" s="10" t="str">
        <f>"quest_name_"&amp;表1[[#This Row],[任务ID]]</f>
        <v>quest_name_203019</v>
      </c>
      <c r="E190" s="10" t="str">
        <f>VLOOKUP(表1[[#This Row],[任务名称]],[1]!表1_8[#Data],2,FALSE)</f>
        <v>角色等级40级</v>
      </c>
      <c r="F190" s="9">
        <v>3</v>
      </c>
      <c r="G190" s="9">
        <v>0</v>
      </c>
      <c r="H190" s="9">
        <v>40</v>
      </c>
      <c r="I190">
        <v>0</v>
      </c>
      <c r="J190" t="s">
        <v>60</v>
      </c>
      <c r="K190" s="2">
        <v>0</v>
      </c>
    </row>
    <row r="191" spans="1:11" x14ac:dyDescent="0.15">
      <c r="A191" s="8">
        <v>203020</v>
      </c>
      <c r="B191" s="9">
        <v>1</v>
      </c>
      <c r="C191" s="8">
        <v>203021</v>
      </c>
      <c r="D191" s="10" t="str">
        <f>"quest_name_"&amp;表1[[#This Row],[任务ID]]</f>
        <v>quest_name_203020</v>
      </c>
      <c r="E191" s="10" t="str">
        <f>VLOOKUP(表1[[#This Row],[任务名称]],[1]!表1_8[#Data],2,FALSE)</f>
        <v>角色等级42级</v>
      </c>
      <c r="F191" s="9">
        <v>3</v>
      </c>
      <c r="G191" s="9">
        <v>0</v>
      </c>
      <c r="H191" s="9">
        <v>42</v>
      </c>
      <c r="I191">
        <v>0</v>
      </c>
      <c r="J191" t="s">
        <v>61</v>
      </c>
      <c r="K191" s="2">
        <v>0</v>
      </c>
    </row>
    <row r="192" spans="1:11" x14ac:dyDescent="0.15">
      <c r="A192" s="8">
        <v>203021</v>
      </c>
      <c r="B192" s="9">
        <v>1</v>
      </c>
      <c r="C192" s="8">
        <v>203022</v>
      </c>
      <c r="D192" s="10" t="str">
        <f>"quest_name_"&amp;表1[[#This Row],[任务ID]]</f>
        <v>quest_name_203021</v>
      </c>
      <c r="E192" s="10" t="str">
        <f>VLOOKUP(表1[[#This Row],[任务名称]],[1]!表1_8[#Data],2,FALSE)</f>
        <v>角色等级44级</v>
      </c>
      <c r="F192" s="9">
        <v>3</v>
      </c>
      <c r="G192" s="9">
        <v>0</v>
      </c>
      <c r="H192" s="9">
        <v>44</v>
      </c>
      <c r="I192">
        <v>0</v>
      </c>
      <c r="J192" t="s">
        <v>62</v>
      </c>
      <c r="K192" s="2">
        <v>0</v>
      </c>
    </row>
    <row r="193" spans="1:11" x14ac:dyDescent="0.15">
      <c r="A193" s="8">
        <v>203022</v>
      </c>
      <c r="B193" s="9">
        <v>1</v>
      </c>
      <c r="C193" s="8">
        <v>203023</v>
      </c>
      <c r="D193" s="10" t="str">
        <f>"quest_name_"&amp;表1[[#This Row],[任务ID]]</f>
        <v>quest_name_203022</v>
      </c>
      <c r="E193" s="10" t="str">
        <f>VLOOKUP(表1[[#This Row],[任务名称]],[1]!表1_8[#Data],2,FALSE)</f>
        <v>角色等级46级</v>
      </c>
      <c r="F193" s="9">
        <v>3</v>
      </c>
      <c r="G193" s="9">
        <v>0</v>
      </c>
      <c r="H193" s="9">
        <v>46</v>
      </c>
      <c r="I193">
        <v>0</v>
      </c>
      <c r="J193" t="s">
        <v>75</v>
      </c>
      <c r="K193" s="2">
        <v>0</v>
      </c>
    </row>
    <row r="194" spans="1:11" x14ac:dyDescent="0.15">
      <c r="A194" s="8">
        <v>203023</v>
      </c>
      <c r="B194" s="9">
        <v>1</v>
      </c>
      <c r="C194" s="8">
        <v>203024</v>
      </c>
      <c r="D194" s="10" t="str">
        <f>"quest_name_"&amp;表1[[#This Row],[任务ID]]</f>
        <v>quest_name_203023</v>
      </c>
      <c r="E194" s="10" t="str">
        <f>VLOOKUP(表1[[#This Row],[任务名称]],[1]!表1_8[#Data],2,FALSE)</f>
        <v>角色等级48级</v>
      </c>
      <c r="F194" s="9">
        <v>3</v>
      </c>
      <c r="G194" s="9">
        <v>0</v>
      </c>
      <c r="H194" s="9">
        <v>48</v>
      </c>
      <c r="I194">
        <v>0</v>
      </c>
      <c r="J194" t="s">
        <v>63</v>
      </c>
      <c r="K194" s="2">
        <v>0</v>
      </c>
    </row>
    <row r="195" spans="1:11" x14ac:dyDescent="0.15">
      <c r="A195" s="8">
        <v>203024</v>
      </c>
      <c r="B195" s="9">
        <v>1</v>
      </c>
      <c r="C195" s="8">
        <v>203025</v>
      </c>
      <c r="D195" s="10" t="str">
        <f>"quest_name_"&amp;表1[[#This Row],[任务ID]]</f>
        <v>quest_name_203024</v>
      </c>
      <c r="E195" s="10" t="str">
        <f>VLOOKUP(表1[[#This Row],[任务名称]],[1]!表1_8[#Data],2,FALSE)</f>
        <v>角色等级50级</v>
      </c>
      <c r="F195" s="9">
        <v>3</v>
      </c>
      <c r="G195" s="9">
        <v>0</v>
      </c>
      <c r="H195" s="9">
        <v>50</v>
      </c>
      <c r="I195">
        <v>0</v>
      </c>
      <c r="J195" t="s">
        <v>76</v>
      </c>
      <c r="K195" s="2">
        <v>0</v>
      </c>
    </row>
    <row r="196" spans="1:11" x14ac:dyDescent="0.15">
      <c r="A196" s="8">
        <v>203025</v>
      </c>
      <c r="B196" s="9">
        <v>1</v>
      </c>
      <c r="C196" s="8">
        <v>203026</v>
      </c>
      <c r="D196" s="10" t="str">
        <f>"quest_name_"&amp;表1[[#This Row],[任务ID]]</f>
        <v>quest_name_203025</v>
      </c>
      <c r="E196" s="10" t="str">
        <f>VLOOKUP(表1[[#This Row],[任务名称]],[1]!表1_8[#Data],2,FALSE)</f>
        <v>角色等级52级</v>
      </c>
      <c r="F196" s="9">
        <v>3</v>
      </c>
      <c r="G196" s="9">
        <v>0</v>
      </c>
      <c r="H196" s="9">
        <v>52</v>
      </c>
      <c r="I196">
        <v>0</v>
      </c>
      <c r="J196" t="s">
        <v>64</v>
      </c>
      <c r="K196" s="2">
        <v>0</v>
      </c>
    </row>
    <row r="197" spans="1:11" x14ac:dyDescent="0.15">
      <c r="A197" s="8">
        <v>203026</v>
      </c>
      <c r="B197" s="9">
        <v>1</v>
      </c>
      <c r="C197" s="8">
        <v>203027</v>
      </c>
      <c r="D197" s="10" t="str">
        <f>"quest_name_"&amp;表1[[#This Row],[任务ID]]</f>
        <v>quest_name_203026</v>
      </c>
      <c r="E197" s="10" t="str">
        <f>VLOOKUP(表1[[#This Row],[任务名称]],[1]!表1_8[#Data],2,FALSE)</f>
        <v>角色等级54级</v>
      </c>
      <c r="F197" s="9">
        <v>3</v>
      </c>
      <c r="G197" s="9">
        <v>0</v>
      </c>
      <c r="H197" s="9">
        <v>54</v>
      </c>
      <c r="I197">
        <v>0</v>
      </c>
      <c r="J197" t="s">
        <v>65</v>
      </c>
      <c r="K197" s="2">
        <v>0</v>
      </c>
    </row>
    <row r="198" spans="1:11" x14ac:dyDescent="0.15">
      <c r="A198" s="8">
        <v>203027</v>
      </c>
      <c r="B198" s="9">
        <v>1</v>
      </c>
      <c r="C198" s="8">
        <v>203028</v>
      </c>
      <c r="D198" s="10" t="str">
        <f>"quest_name_"&amp;表1[[#This Row],[任务ID]]</f>
        <v>quest_name_203027</v>
      </c>
      <c r="E198" s="10" t="str">
        <f>VLOOKUP(表1[[#This Row],[任务名称]],[1]!表1_8[#Data],2,FALSE)</f>
        <v>角色等级56级</v>
      </c>
      <c r="F198" s="9">
        <v>3</v>
      </c>
      <c r="G198" s="9">
        <v>0</v>
      </c>
      <c r="H198" s="9">
        <v>56</v>
      </c>
      <c r="I198">
        <v>0</v>
      </c>
      <c r="J198" t="s">
        <v>77</v>
      </c>
      <c r="K198" s="2">
        <v>0</v>
      </c>
    </row>
    <row r="199" spans="1:11" x14ac:dyDescent="0.15">
      <c r="A199" s="8">
        <v>203028</v>
      </c>
      <c r="B199" s="9">
        <v>1</v>
      </c>
      <c r="C199" s="8">
        <v>203029</v>
      </c>
      <c r="D199" s="10" t="str">
        <f>"quest_name_"&amp;表1[[#This Row],[任务ID]]</f>
        <v>quest_name_203028</v>
      </c>
      <c r="E199" s="10" t="str">
        <f>VLOOKUP(表1[[#This Row],[任务名称]],[1]!表1_8[#Data],2,FALSE)</f>
        <v>角色等级58级</v>
      </c>
      <c r="F199" s="9">
        <v>3</v>
      </c>
      <c r="G199" s="9">
        <v>0</v>
      </c>
      <c r="H199" s="9">
        <v>58</v>
      </c>
      <c r="I199">
        <v>0</v>
      </c>
      <c r="J199" t="s">
        <v>78</v>
      </c>
      <c r="K199" s="2">
        <v>0</v>
      </c>
    </row>
    <row r="200" spans="1:11" x14ac:dyDescent="0.15">
      <c r="A200" s="8">
        <v>203029</v>
      </c>
      <c r="B200" s="9">
        <v>1</v>
      </c>
      <c r="C200" s="8">
        <v>203030</v>
      </c>
      <c r="D200" s="10" t="str">
        <f>"quest_name_"&amp;表1[[#This Row],[任务ID]]</f>
        <v>quest_name_203029</v>
      </c>
      <c r="E200" s="10" t="str">
        <f>VLOOKUP(表1[[#This Row],[任务名称]],[1]!表1_8[#Data],2,FALSE)</f>
        <v>角色等级60级</v>
      </c>
      <c r="F200" s="9">
        <v>3</v>
      </c>
      <c r="G200" s="9">
        <v>0</v>
      </c>
      <c r="H200" s="9">
        <v>60</v>
      </c>
      <c r="I200">
        <v>0</v>
      </c>
      <c r="J200" t="s">
        <v>66</v>
      </c>
      <c r="K200" s="2">
        <v>0</v>
      </c>
    </row>
    <row r="201" spans="1:11" x14ac:dyDescent="0.15">
      <c r="A201" s="8">
        <v>203030</v>
      </c>
      <c r="B201" s="9">
        <v>1</v>
      </c>
      <c r="C201" s="8">
        <v>203031</v>
      </c>
      <c r="D201" s="10" t="str">
        <f>"quest_name_"&amp;表1[[#This Row],[任务ID]]</f>
        <v>quest_name_203030</v>
      </c>
      <c r="E201" s="10" t="str">
        <f>VLOOKUP(表1[[#This Row],[任务名称]],[1]!表1_8[#Data],2,FALSE)</f>
        <v>角色等级65级</v>
      </c>
      <c r="F201" s="9">
        <v>3</v>
      </c>
      <c r="G201" s="9">
        <v>0</v>
      </c>
      <c r="H201" s="9">
        <v>65</v>
      </c>
      <c r="I201">
        <v>0</v>
      </c>
      <c r="J201" t="s">
        <v>72</v>
      </c>
      <c r="K201" s="2">
        <v>0</v>
      </c>
    </row>
    <row r="202" spans="1:11" x14ac:dyDescent="0.15">
      <c r="A202" s="8">
        <v>203031</v>
      </c>
      <c r="B202" s="9">
        <v>1</v>
      </c>
      <c r="C202" s="8">
        <v>203032</v>
      </c>
      <c r="D202" s="10" t="str">
        <f>"quest_name_"&amp;表1[[#This Row],[任务ID]]</f>
        <v>quest_name_203031</v>
      </c>
      <c r="E202" s="10" t="str">
        <f>VLOOKUP(表1[[#This Row],[任务名称]],[1]!表1_8[#Data],2,FALSE)</f>
        <v>角色等级70级</v>
      </c>
      <c r="F202" s="9">
        <v>3</v>
      </c>
      <c r="G202" s="9">
        <v>0</v>
      </c>
      <c r="H202" s="9">
        <v>70</v>
      </c>
      <c r="I202">
        <v>0</v>
      </c>
      <c r="J202" t="s">
        <v>79</v>
      </c>
      <c r="K202" s="2">
        <v>0</v>
      </c>
    </row>
    <row r="203" spans="1:11" x14ac:dyDescent="0.15">
      <c r="A203" s="8">
        <v>203032</v>
      </c>
      <c r="B203" s="9">
        <v>1</v>
      </c>
      <c r="C203" s="8">
        <v>203033</v>
      </c>
      <c r="D203" s="10" t="str">
        <f>"quest_name_"&amp;表1[[#This Row],[任务ID]]</f>
        <v>quest_name_203032</v>
      </c>
      <c r="E203" s="10" t="str">
        <f>VLOOKUP(表1[[#This Row],[任务名称]],[1]!表1_8[#Data],2,FALSE)</f>
        <v>角色等级75级</v>
      </c>
      <c r="F203" s="9">
        <v>3</v>
      </c>
      <c r="G203" s="9">
        <v>0</v>
      </c>
      <c r="H203" s="9">
        <v>75</v>
      </c>
      <c r="I203">
        <v>0</v>
      </c>
      <c r="J203" t="s">
        <v>67</v>
      </c>
      <c r="K203" s="2">
        <v>0</v>
      </c>
    </row>
    <row r="204" spans="1:11" x14ac:dyDescent="0.15">
      <c r="A204" s="8">
        <v>203033</v>
      </c>
      <c r="B204" s="9">
        <v>1</v>
      </c>
      <c r="C204" s="8">
        <v>0</v>
      </c>
      <c r="D204" s="10" t="str">
        <f>"quest_name_"&amp;表1[[#This Row],[任务ID]]</f>
        <v>quest_name_203033</v>
      </c>
      <c r="E204" s="10" t="str">
        <f>VLOOKUP(表1[[#This Row],[任务名称]],[1]!表1_8[#Data],2,FALSE)</f>
        <v>角色等级80级</v>
      </c>
      <c r="F204" s="9">
        <v>3</v>
      </c>
      <c r="G204" s="9">
        <v>0</v>
      </c>
      <c r="H204" s="9">
        <v>80</v>
      </c>
      <c r="I204">
        <v>0</v>
      </c>
      <c r="J204" t="s">
        <v>69</v>
      </c>
      <c r="K204" s="2">
        <v>0</v>
      </c>
    </row>
    <row r="205" spans="1:11" x14ac:dyDescent="0.15">
      <c r="A205" s="8">
        <v>204000</v>
      </c>
      <c r="B205" s="9">
        <v>1</v>
      </c>
      <c r="C205" s="8">
        <v>204001</v>
      </c>
      <c r="D205" s="10" t="str">
        <f>"quest_name_"&amp;表1[[#This Row],[任务ID]]</f>
        <v>quest_name_204000</v>
      </c>
      <c r="E205" s="10" t="str">
        <f>VLOOKUP(表1[[#This Row],[任务名称]],[1]!表1_8[#Data],2,FALSE)</f>
        <v>解锁炮台10倍</v>
      </c>
      <c r="F205" s="9">
        <v>4</v>
      </c>
      <c r="G205" s="9">
        <v>0</v>
      </c>
      <c r="H205" s="9">
        <v>10</v>
      </c>
      <c r="I205">
        <v>0</v>
      </c>
      <c r="J205" t="s">
        <v>48</v>
      </c>
      <c r="K205" s="2">
        <v>0</v>
      </c>
    </row>
    <row r="206" spans="1:11" x14ac:dyDescent="0.15">
      <c r="A206" s="8">
        <v>204001</v>
      </c>
      <c r="B206" s="9">
        <v>1</v>
      </c>
      <c r="C206" s="8">
        <v>204002</v>
      </c>
      <c r="D206" s="10" t="str">
        <f>"quest_name_"&amp;表1[[#This Row],[任务ID]]</f>
        <v>quest_name_204001</v>
      </c>
      <c r="E206" s="10" t="str">
        <f>VLOOKUP(表1[[#This Row],[任务名称]],[1]!表1_8[#Data],2,FALSE)</f>
        <v>解锁炮台20倍</v>
      </c>
      <c r="F206" s="9">
        <v>4</v>
      </c>
      <c r="G206" s="9">
        <v>0</v>
      </c>
      <c r="H206" s="9">
        <v>20</v>
      </c>
      <c r="I206">
        <v>0</v>
      </c>
      <c r="J206" t="s">
        <v>48</v>
      </c>
      <c r="K206" s="2">
        <v>0</v>
      </c>
    </row>
    <row r="207" spans="1:11" x14ac:dyDescent="0.15">
      <c r="A207" s="8">
        <v>204002</v>
      </c>
      <c r="B207" s="9">
        <v>1</v>
      </c>
      <c r="C207" s="8">
        <v>204003</v>
      </c>
      <c r="D207" s="10" t="str">
        <f>"quest_name_"&amp;表1[[#This Row],[任务ID]]</f>
        <v>quest_name_204002</v>
      </c>
      <c r="E207" s="10" t="str">
        <f>VLOOKUP(表1[[#This Row],[任务名称]],[1]!表1_8[#Data],2,FALSE)</f>
        <v>解锁炮台30倍</v>
      </c>
      <c r="F207" s="9">
        <v>4</v>
      </c>
      <c r="G207" s="9">
        <v>0</v>
      </c>
      <c r="H207" s="9">
        <v>30</v>
      </c>
      <c r="I207">
        <v>0</v>
      </c>
      <c r="J207" t="s">
        <v>48</v>
      </c>
      <c r="K207" s="2">
        <v>0</v>
      </c>
    </row>
    <row r="208" spans="1:11" x14ac:dyDescent="0.15">
      <c r="A208" s="8">
        <v>204003</v>
      </c>
      <c r="B208" s="9">
        <v>1</v>
      </c>
      <c r="C208" s="8">
        <v>204004</v>
      </c>
      <c r="D208" s="10" t="str">
        <f>"quest_name_"&amp;表1[[#This Row],[任务ID]]</f>
        <v>quest_name_204003</v>
      </c>
      <c r="E208" s="10" t="str">
        <f>VLOOKUP(表1[[#This Row],[任务名称]],[1]!表1_8[#Data],2,FALSE)</f>
        <v>解锁炮台40倍</v>
      </c>
      <c r="F208" s="9">
        <v>4</v>
      </c>
      <c r="G208" s="9">
        <v>0</v>
      </c>
      <c r="H208" s="9">
        <v>40</v>
      </c>
      <c r="I208">
        <v>0</v>
      </c>
      <c r="J208" t="s">
        <v>48</v>
      </c>
      <c r="K208" s="2">
        <v>0</v>
      </c>
    </row>
    <row r="209" spans="1:11" x14ac:dyDescent="0.15">
      <c r="A209" s="8">
        <v>204004</v>
      </c>
      <c r="B209" s="9">
        <v>1</v>
      </c>
      <c r="C209" s="8">
        <v>204005</v>
      </c>
      <c r="D209" s="10" t="str">
        <f>"quest_name_"&amp;表1[[#This Row],[任务ID]]</f>
        <v>quest_name_204004</v>
      </c>
      <c r="E209" s="10" t="str">
        <f>VLOOKUP(表1[[#This Row],[任务名称]],[1]!表1_8[#Data],2,FALSE)</f>
        <v>解锁炮台50倍</v>
      </c>
      <c r="F209" s="9">
        <v>4</v>
      </c>
      <c r="G209" s="9">
        <v>0</v>
      </c>
      <c r="H209" s="9">
        <v>50</v>
      </c>
      <c r="I209">
        <v>0</v>
      </c>
      <c r="J209" t="s">
        <v>48</v>
      </c>
      <c r="K209" s="2">
        <v>0</v>
      </c>
    </row>
    <row r="210" spans="1:11" x14ac:dyDescent="0.15">
      <c r="A210" s="8">
        <v>204005</v>
      </c>
      <c r="B210" s="9">
        <v>1</v>
      </c>
      <c r="C210" s="8">
        <v>204006</v>
      </c>
      <c r="D210" s="10" t="str">
        <f>"quest_name_"&amp;表1[[#This Row],[任务ID]]</f>
        <v>quest_name_204005</v>
      </c>
      <c r="E210" s="10" t="str">
        <f>VLOOKUP(表1[[#This Row],[任务名称]],[1]!表1_8[#Data],2,FALSE)</f>
        <v>解锁炮台60倍</v>
      </c>
      <c r="F210" s="9">
        <v>4</v>
      </c>
      <c r="G210" s="9">
        <v>0</v>
      </c>
      <c r="H210" s="9">
        <v>60</v>
      </c>
      <c r="I210">
        <v>0</v>
      </c>
      <c r="J210" t="s">
        <v>49</v>
      </c>
      <c r="K210" s="2">
        <v>0</v>
      </c>
    </row>
    <row r="211" spans="1:11" x14ac:dyDescent="0.15">
      <c r="A211" s="8">
        <v>204006</v>
      </c>
      <c r="B211" s="9">
        <v>1</v>
      </c>
      <c r="C211" s="8">
        <v>204007</v>
      </c>
      <c r="D211" s="10" t="str">
        <f>"quest_name_"&amp;表1[[#This Row],[任务ID]]</f>
        <v>quest_name_204006</v>
      </c>
      <c r="E211" s="10" t="str">
        <f>VLOOKUP(表1[[#This Row],[任务名称]],[1]!表1_8[#Data],2,FALSE)</f>
        <v>解锁炮台70倍</v>
      </c>
      <c r="F211" s="9">
        <v>4</v>
      </c>
      <c r="G211" s="9">
        <v>0</v>
      </c>
      <c r="H211" s="9">
        <v>70</v>
      </c>
      <c r="I211">
        <v>0</v>
      </c>
      <c r="J211" t="s">
        <v>50</v>
      </c>
      <c r="K211" s="2">
        <v>0</v>
      </c>
    </row>
    <row r="212" spans="1:11" x14ac:dyDescent="0.15">
      <c r="A212" s="8">
        <v>204007</v>
      </c>
      <c r="B212" s="9">
        <v>1</v>
      </c>
      <c r="C212" s="8">
        <v>204008</v>
      </c>
      <c r="D212" s="10" t="str">
        <f>"quest_name_"&amp;表1[[#This Row],[任务ID]]</f>
        <v>quest_name_204007</v>
      </c>
      <c r="E212" s="10" t="str">
        <f>VLOOKUP(表1[[#This Row],[任务名称]],[1]!表1_8[#Data],2,FALSE)</f>
        <v>解锁炮台80倍</v>
      </c>
      <c r="F212" s="9">
        <v>4</v>
      </c>
      <c r="G212" s="9">
        <v>0</v>
      </c>
      <c r="H212" s="9">
        <v>80</v>
      </c>
      <c r="I212">
        <v>0</v>
      </c>
      <c r="J212" t="s">
        <v>51</v>
      </c>
      <c r="K212" s="2">
        <v>0</v>
      </c>
    </row>
    <row r="213" spans="1:11" x14ac:dyDescent="0.15">
      <c r="A213" s="8">
        <v>204008</v>
      </c>
      <c r="B213" s="9">
        <v>1</v>
      </c>
      <c r="C213" s="8">
        <v>204009</v>
      </c>
      <c r="D213" s="10" t="str">
        <f>"quest_name_"&amp;表1[[#This Row],[任务ID]]</f>
        <v>quest_name_204008</v>
      </c>
      <c r="E213" s="10" t="str">
        <f>VLOOKUP(表1[[#This Row],[任务名称]],[1]!表1_8[#Data],2,FALSE)</f>
        <v>解锁炮台90倍</v>
      </c>
      <c r="F213" s="9">
        <v>4</v>
      </c>
      <c r="G213" s="9">
        <v>0</v>
      </c>
      <c r="H213" s="9">
        <v>90</v>
      </c>
      <c r="I213">
        <v>0</v>
      </c>
      <c r="J213" t="s">
        <v>52</v>
      </c>
      <c r="K213" s="2">
        <v>0</v>
      </c>
    </row>
    <row r="214" spans="1:11" x14ac:dyDescent="0.15">
      <c r="A214" s="8">
        <v>204009</v>
      </c>
      <c r="B214" s="9">
        <v>1</v>
      </c>
      <c r="C214" s="8">
        <v>204010</v>
      </c>
      <c r="D214" s="10" t="str">
        <f>"quest_name_"&amp;表1[[#This Row],[任务ID]]</f>
        <v>quest_name_204009</v>
      </c>
      <c r="E214" s="10" t="str">
        <f>VLOOKUP(表1[[#This Row],[任务名称]],[1]!表1_8[#Data],2,FALSE)</f>
        <v>解锁炮台100倍</v>
      </c>
      <c r="F214" s="9">
        <v>4</v>
      </c>
      <c r="G214" s="9">
        <v>0</v>
      </c>
      <c r="H214" s="9">
        <v>100</v>
      </c>
      <c r="I214">
        <v>0</v>
      </c>
      <c r="J214" t="s">
        <v>53</v>
      </c>
      <c r="K214" s="2">
        <v>0</v>
      </c>
    </row>
    <row r="215" spans="1:11" x14ac:dyDescent="0.15">
      <c r="A215" s="8">
        <v>204010</v>
      </c>
      <c r="B215" s="9">
        <v>1</v>
      </c>
      <c r="C215" s="8">
        <v>204011</v>
      </c>
      <c r="D215" s="10" t="str">
        <f>"quest_name_"&amp;表1[[#This Row],[任务ID]]</f>
        <v>quest_name_204010</v>
      </c>
      <c r="E215" s="10" t="str">
        <f>VLOOKUP(表1[[#This Row],[任务名称]],[1]!表1_8[#Data],2,FALSE)</f>
        <v>解锁炮台160倍</v>
      </c>
      <c r="F215" s="9">
        <v>4</v>
      </c>
      <c r="G215" s="9">
        <v>0</v>
      </c>
      <c r="H215" s="9">
        <v>160</v>
      </c>
      <c r="I215">
        <v>0</v>
      </c>
      <c r="J215" t="s">
        <v>54</v>
      </c>
      <c r="K215" s="2">
        <v>0</v>
      </c>
    </row>
    <row r="216" spans="1:11" x14ac:dyDescent="0.15">
      <c r="A216" s="8">
        <v>204011</v>
      </c>
      <c r="B216" s="9">
        <v>1</v>
      </c>
      <c r="C216" s="8">
        <v>204012</v>
      </c>
      <c r="D216" s="10" t="str">
        <f>"quest_name_"&amp;表1[[#This Row],[任务ID]]</f>
        <v>quest_name_204011</v>
      </c>
      <c r="E216" s="10" t="str">
        <f>VLOOKUP(表1[[#This Row],[任务名称]],[1]!表1_8[#Data],2,FALSE)</f>
        <v>解锁炮台200倍</v>
      </c>
      <c r="F216" s="9">
        <v>4</v>
      </c>
      <c r="G216" s="9">
        <v>0</v>
      </c>
      <c r="H216" s="9">
        <v>200</v>
      </c>
      <c r="I216">
        <v>0</v>
      </c>
      <c r="J216" t="s">
        <v>55</v>
      </c>
      <c r="K216" s="2">
        <v>0</v>
      </c>
    </row>
    <row r="217" spans="1:11" x14ac:dyDescent="0.15">
      <c r="A217" s="8">
        <v>204012</v>
      </c>
      <c r="B217" s="9">
        <v>1</v>
      </c>
      <c r="C217" s="8">
        <v>204013</v>
      </c>
      <c r="D217" s="10" t="str">
        <f>"quest_name_"&amp;表1[[#This Row],[任务ID]]</f>
        <v>quest_name_204012</v>
      </c>
      <c r="E217" s="10" t="str">
        <f>VLOOKUP(表1[[#This Row],[任务名称]],[1]!表1_8[#Data],2,FALSE)</f>
        <v>解锁炮台250倍</v>
      </c>
      <c r="F217" s="9">
        <v>4</v>
      </c>
      <c r="G217" s="9">
        <v>0</v>
      </c>
      <c r="H217" s="9">
        <v>250</v>
      </c>
      <c r="I217">
        <v>0</v>
      </c>
      <c r="J217" t="s">
        <v>56</v>
      </c>
      <c r="K217" s="2">
        <v>0</v>
      </c>
    </row>
    <row r="218" spans="1:11" x14ac:dyDescent="0.15">
      <c r="A218" s="8">
        <v>204013</v>
      </c>
      <c r="B218" s="9">
        <v>1</v>
      </c>
      <c r="C218" s="8">
        <v>204014</v>
      </c>
      <c r="D218" s="10" t="str">
        <f>"quest_name_"&amp;表1[[#This Row],[任务ID]]</f>
        <v>quest_name_204013</v>
      </c>
      <c r="E218" s="10" t="str">
        <f>VLOOKUP(表1[[#This Row],[任务名称]],[1]!表1_8[#Data],2,FALSE)</f>
        <v>解锁炮台300倍</v>
      </c>
      <c r="F218" s="9">
        <v>4</v>
      </c>
      <c r="G218" s="9">
        <v>0</v>
      </c>
      <c r="H218" s="9">
        <v>300</v>
      </c>
      <c r="I218">
        <v>0</v>
      </c>
      <c r="J218" t="s">
        <v>44</v>
      </c>
      <c r="K218" s="2">
        <v>0</v>
      </c>
    </row>
    <row r="219" spans="1:11" x14ac:dyDescent="0.15">
      <c r="A219" s="8">
        <v>204014</v>
      </c>
      <c r="B219" s="9">
        <v>1</v>
      </c>
      <c r="C219" s="8">
        <v>204015</v>
      </c>
      <c r="D219" s="10" t="str">
        <f>"quest_name_"&amp;表1[[#This Row],[任务ID]]</f>
        <v>quest_name_204014</v>
      </c>
      <c r="E219" s="10" t="str">
        <f>VLOOKUP(表1[[#This Row],[任务名称]],[1]!表1_8[#Data],2,FALSE)</f>
        <v>解锁炮台350倍</v>
      </c>
      <c r="F219" s="9">
        <v>4</v>
      </c>
      <c r="G219" s="9">
        <v>0</v>
      </c>
      <c r="H219" s="9">
        <v>350</v>
      </c>
      <c r="I219">
        <v>0</v>
      </c>
      <c r="J219" t="s">
        <v>57</v>
      </c>
      <c r="K219" s="2">
        <v>0</v>
      </c>
    </row>
    <row r="220" spans="1:11" x14ac:dyDescent="0.15">
      <c r="A220" s="8">
        <v>204015</v>
      </c>
      <c r="B220" s="9">
        <v>1</v>
      </c>
      <c r="C220" s="8">
        <v>204016</v>
      </c>
      <c r="D220" s="10" t="str">
        <f>"quest_name_"&amp;表1[[#This Row],[任务ID]]</f>
        <v>quest_name_204015</v>
      </c>
      <c r="E220" s="10" t="str">
        <f>VLOOKUP(表1[[#This Row],[任务名称]],[1]!表1_8[#Data],2,FALSE)</f>
        <v>解锁炮台400倍</v>
      </c>
      <c r="F220" s="9">
        <v>4</v>
      </c>
      <c r="G220" s="9">
        <v>0</v>
      </c>
      <c r="H220" s="9">
        <v>400</v>
      </c>
      <c r="I220">
        <v>0</v>
      </c>
      <c r="J220" t="s">
        <v>58</v>
      </c>
      <c r="K220" s="2">
        <v>0</v>
      </c>
    </row>
    <row r="221" spans="1:11" x14ac:dyDescent="0.15">
      <c r="A221" s="8">
        <v>204016</v>
      </c>
      <c r="B221" s="9">
        <v>1</v>
      </c>
      <c r="C221" s="8">
        <v>204017</v>
      </c>
      <c r="D221" s="10" t="str">
        <f>"quest_name_"&amp;表1[[#This Row],[任务ID]]</f>
        <v>quest_name_204016</v>
      </c>
      <c r="E221" s="10" t="str">
        <f>VLOOKUP(表1[[#This Row],[任务名称]],[1]!表1_8[#Data],2,FALSE)</f>
        <v>解锁炮台450倍</v>
      </c>
      <c r="F221" s="9">
        <v>4</v>
      </c>
      <c r="G221" s="9">
        <v>0</v>
      </c>
      <c r="H221" s="9">
        <v>450</v>
      </c>
      <c r="I221">
        <v>0</v>
      </c>
      <c r="J221" t="s">
        <v>59</v>
      </c>
      <c r="K221" s="2">
        <v>0</v>
      </c>
    </row>
    <row r="222" spans="1:11" x14ac:dyDescent="0.15">
      <c r="A222" s="8">
        <v>204017</v>
      </c>
      <c r="B222" s="9">
        <v>1</v>
      </c>
      <c r="C222" s="8">
        <v>204018</v>
      </c>
      <c r="D222" s="10" t="str">
        <f>"quest_name_"&amp;表1[[#This Row],[任务ID]]</f>
        <v>quest_name_204017</v>
      </c>
      <c r="E222" s="10" t="str">
        <f>VLOOKUP(表1[[#This Row],[任务名称]],[1]!表1_8[#Data],2,FALSE)</f>
        <v>解锁炮台500倍</v>
      </c>
      <c r="F222" s="9">
        <v>4</v>
      </c>
      <c r="G222" s="9">
        <v>0</v>
      </c>
      <c r="H222" s="9">
        <v>500</v>
      </c>
      <c r="I222">
        <v>0</v>
      </c>
      <c r="J222" t="s">
        <v>60</v>
      </c>
      <c r="K222" s="2">
        <v>0</v>
      </c>
    </row>
    <row r="223" spans="1:11" x14ac:dyDescent="0.15">
      <c r="A223" s="8">
        <v>204018</v>
      </c>
      <c r="B223" s="9">
        <v>1</v>
      </c>
      <c r="C223" s="8">
        <v>204019</v>
      </c>
      <c r="D223" s="10" t="str">
        <f>"quest_name_"&amp;表1[[#This Row],[任务ID]]</f>
        <v>quest_name_204018</v>
      </c>
      <c r="E223" s="10" t="str">
        <f>VLOOKUP(表1[[#This Row],[任务名称]],[1]!表1_8[#Data],2,FALSE)</f>
        <v>解锁炮台600倍</v>
      </c>
      <c r="F223" s="9">
        <v>4</v>
      </c>
      <c r="G223" s="9">
        <v>0</v>
      </c>
      <c r="H223" s="9">
        <v>600</v>
      </c>
      <c r="I223">
        <v>0</v>
      </c>
      <c r="J223" t="s">
        <v>61</v>
      </c>
      <c r="K223" s="2">
        <v>0</v>
      </c>
    </row>
    <row r="224" spans="1:11" x14ac:dyDescent="0.15">
      <c r="A224" s="8">
        <v>204019</v>
      </c>
      <c r="B224" s="9">
        <v>1</v>
      </c>
      <c r="C224" s="8">
        <v>204020</v>
      </c>
      <c r="D224" s="10" t="str">
        <f>"quest_name_"&amp;表1[[#This Row],[任务ID]]</f>
        <v>quest_name_204019</v>
      </c>
      <c r="E224" s="10" t="str">
        <f>VLOOKUP(表1[[#This Row],[任务名称]],[1]!表1_8[#Data],2,FALSE)</f>
        <v>解锁炮台700倍</v>
      </c>
      <c r="F224" s="9">
        <v>4</v>
      </c>
      <c r="G224" s="9">
        <v>0</v>
      </c>
      <c r="H224" s="9">
        <v>700</v>
      </c>
      <c r="I224">
        <v>0</v>
      </c>
      <c r="J224" t="s">
        <v>62</v>
      </c>
      <c r="K224" s="2">
        <v>0</v>
      </c>
    </row>
    <row r="225" spans="1:11" x14ac:dyDescent="0.15">
      <c r="A225" s="8">
        <v>204020</v>
      </c>
      <c r="B225" s="9">
        <v>1</v>
      </c>
      <c r="C225" s="8">
        <v>204021</v>
      </c>
      <c r="D225" s="10" t="str">
        <f>"quest_name_"&amp;表1[[#This Row],[任务ID]]</f>
        <v>quest_name_204020</v>
      </c>
      <c r="E225" s="10" t="str">
        <f>VLOOKUP(表1[[#This Row],[任务名称]],[1]!表1_8[#Data],2,FALSE)</f>
        <v>解锁炮台800倍</v>
      </c>
      <c r="F225" s="9">
        <v>4</v>
      </c>
      <c r="G225" s="9">
        <v>0</v>
      </c>
      <c r="H225" s="9">
        <v>800</v>
      </c>
      <c r="I225">
        <v>0</v>
      </c>
      <c r="J225" t="s">
        <v>75</v>
      </c>
      <c r="K225" s="2">
        <v>0</v>
      </c>
    </row>
    <row r="226" spans="1:11" x14ac:dyDescent="0.15">
      <c r="A226" s="8">
        <v>204021</v>
      </c>
      <c r="B226" s="9">
        <v>1</v>
      </c>
      <c r="C226" s="8">
        <v>204022</v>
      </c>
      <c r="D226" s="10" t="str">
        <f>"quest_name_"&amp;表1[[#This Row],[任务ID]]</f>
        <v>quest_name_204021</v>
      </c>
      <c r="E226" s="10" t="str">
        <f>VLOOKUP(表1[[#This Row],[任务名称]],[1]!表1_8[#Data],2,FALSE)</f>
        <v>解锁炮台900倍</v>
      </c>
      <c r="F226" s="9">
        <v>4</v>
      </c>
      <c r="G226" s="9">
        <v>0</v>
      </c>
      <c r="H226" s="9">
        <v>900</v>
      </c>
      <c r="I226">
        <v>0</v>
      </c>
      <c r="J226" t="s">
        <v>63</v>
      </c>
      <c r="K226" s="2">
        <v>0</v>
      </c>
    </row>
    <row r="227" spans="1:11" x14ac:dyDescent="0.15">
      <c r="A227" s="8">
        <v>204022</v>
      </c>
      <c r="B227" s="9">
        <v>1</v>
      </c>
      <c r="C227" s="8">
        <v>204023</v>
      </c>
      <c r="D227" s="10" t="str">
        <f>"quest_name_"&amp;表1[[#This Row],[任务ID]]</f>
        <v>quest_name_204022</v>
      </c>
      <c r="E227" s="10" t="str">
        <f>VLOOKUP(表1[[#This Row],[任务名称]],[1]!表1_8[#Data],2,FALSE)</f>
        <v>解锁炮台1000倍</v>
      </c>
      <c r="F227" s="9">
        <v>4</v>
      </c>
      <c r="G227" s="9">
        <v>0</v>
      </c>
      <c r="H227" s="9">
        <v>1000</v>
      </c>
      <c r="I227">
        <v>0</v>
      </c>
      <c r="J227" t="s">
        <v>76</v>
      </c>
      <c r="K227" s="2">
        <v>0</v>
      </c>
    </row>
    <row r="228" spans="1:11" x14ac:dyDescent="0.15">
      <c r="A228" s="8">
        <v>204023</v>
      </c>
      <c r="B228" s="9">
        <v>1</v>
      </c>
      <c r="C228" s="8">
        <v>204024</v>
      </c>
      <c r="D228" s="10" t="str">
        <f>"quest_name_"&amp;表1[[#This Row],[任务ID]]</f>
        <v>quest_name_204023</v>
      </c>
      <c r="E228" s="10" t="str">
        <f>VLOOKUP(表1[[#This Row],[任务名称]],[1]!表1_8[#Data],2,FALSE)</f>
        <v>解锁炮台1500倍</v>
      </c>
      <c r="F228" s="9">
        <v>4</v>
      </c>
      <c r="G228" s="9">
        <v>0</v>
      </c>
      <c r="H228" s="9">
        <v>1500</v>
      </c>
      <c r="I228">
        <v>0</v>
      </c>
      <c r="J228" t="s">
        <v>64</v>
      </c>
      <c r="K228" s="2">
        <v>0</v>
      </c>
    </row>
    <row r="229" spans="1:11" x14ac:dyDescent="0.15">
      <c r="A229" s="8">
        <v>204024</v>
      </c>
      <c r="B229" s="9">
        <v>1</v>
      </c>
      <c r="C229" s="8">
        <v>204025</v>
      </c>
      <c r="D229" s="10" t="str">
        <f>"quest_name_"&amp;表1[[#This Row],[任务ID]]</f>
        <v>quest_name_204024</v>
      </c>
      <c r="E229" s="10" t="str">
        <f>VLOOKUP(表1[[#This Row],[任务名称]],[1]!表1_8[#Data],2,FALSE)</f>
        <v>解锁炮台2000倍</v>
      </c>
      <c r="F229" s="9">
        <v>4</v>
      </c>
      <c r="G229" s="9">
        <v>0</v>
      </c>
      <c r="H229" s="9">
        <v>2000</v>
      </c>
      <c r="I229">
        <v>0</v>
      </c>
      <c r="J229" t="s">
        <v>65</v>
      </c>
      <c r="K229" s="2">
        <v>0</v>
      </c>
    </row>
    <row r="230" spans="1:11" x14ac:dyDescent="0.15">
      <c r="A230" s="8">
        <v>204025</v>
      </c>
      <c r="B230" s="9">
        <v>1</v>
      </c>
      <c r="C230" s="8">
        <v>204026</v>
      </c>
      <c r="D230" s="10" t="str">
        <f>"quest_name_"&amp;表1[[#This Row],[任务ID]]</f>
        <v>quest_name_204025</v>
      </c>
      <c r="E230" s="10" t="str">
        <f>VLOOKUP(表1[[#This Row],[任务名称]],[1]!表1_8[#Data],2,FALSE)</f>
        <v>解锁炮台2500倍</v>
      </c>
      <c r="F230" s="9">
        <v>4</v>
      </c>
      <c r="G230" s="9">
        <v>0</v>
      </c>
      <c r="H230" s="9">
        <v>2500</v>
      </c>
      <c r="I230">
        <v>0</v>
      </c>
      <c r="J230" t="s">
        <v>77</v>
      </c>
      <c r="K230" s="2">
        <v>0</v>
      </c>
    </row>
    <row r="231" spans="1:11" x14ac:dyDescent="0.15">
      <c r="A231" s="8">
        <v>204026</v>
      </c>
      <c r="B231" s="9">
        <v>1</v>
      </c>
      <c r="C231" s="8">
        <v>204027</v>
      </c>
      <c r="D231" s="10" t="str">
        <f>"quest_name_"&amp;表1[[#This Row],[任务ID]]</f>
        <v>quest_name_204026</v>
      </c>
      <c r="E231" s="10" t="str">
        <f>VLOOKUP(表1[[#This Row],[任务名称]],[1]!表1_8[#Data],2,FALSE)</f>
        <v>解锁炮台3000倍</v>
      </c>
      <c r="F231" s="9">
        <v>4</v>
      </c>
      <c r="G231" s="9">
        <v>0</v>
      </c>
      <c r="H231" s="9">
        <v>3000</v>
      </c>
      <c r="I231">
        <v>0</v>
      </c>
      <c r="J231" t="s">
        <v>78</v>
      </c>
      <c r="K231" s="2">
        <v>0</v>
      </c>
    </row>
    <row r="232" spans="1:11" x14ac:dyDescent="0.15">
      <c r="A232" s="8">
        <v>204027</v>
      </c>
      <c r="B232" s="9">
        <v>1</v>
      </c>
      <c r="C232" s="8">
        <v>204028</v>
      </c>
      <c r="D232" s="10" t="str">
        <f>"quest_name_"&amp;表1[[#This Row],[任务ID]]</f>
        <v>quest_name_204027</v>
      </c>
      <c r="E232" s="10" t="str">
        <f>VLOOKUP(表1[[#This Row],[任务名称]],[1]!表1_8[#Data],2,FALSE)</f>
        <v>解锁炮台3500倍</v>
      </c>
      <c r="F232" s="9">
        <v>4</v>
      </c>
      <c r="G232" s="9">
        <v>0</v>
      </c>
      <c r="H232" s="9">
        <v>3500</v>
      </c>
      <c r="I232">
        <v>0</v>
      </c>
      <c r="J232" t="s">
        <v>66</v>
      </c>
      <c r="K232" s="2">
        <v>0</v>
      </c>
    </row>
    <row r="233" spans="1:11" x14ac:dyDescent="0.15">
      <c r="A233" s="8">
        <v>204028</v>
      </c>
      <c r="B233" s="9">
        <v>1</v>
      </c>
      <c r="C233" s="8">
        <v>204029</v>
      </c>
      <c r="D233" s="10" t="str">
        <f>"quest_name_"&amp;表1[[#This Row],[任务ID]]</f>
        <v>quest_name_204028</v>
      </c>
      <c r="E233" s="10" t="str">
        <f>VLOOKUP(表1[[#This Row],[任务名称]],[1]!表1_8[#Data],2,FALSE)</f>
        <v>解锁炮台4000倍</v>
      </c>
      <c r="F233" s="9">
        <v>4</v>
      </c>
      <c r="G233" s="9">
        <v>0</v>
      </c>
      <c r="H233" s="9">
        <v>4000</v>
      </c>
      <c r="I233">
        <v>0</v>
      </c>
      <c r="J233" t="s">
        <v>72</v>
      </c>
      <c r="K233" s="2">
        <v>0</v>
      </c>
    </row>
    <row r="234" spans="1:11" x14ac:dyDescent="0.15">
      <c r="A234" s="8">
        <v>204029</v>
      </c>
      <c r="B234" s="9">
        <v>1</v>
      </c>
      <c r="C234" s="8">
        <v>204030</v>
      </c>
      <c r="D234" s="10" t="str">
        <f>"quest_name_"&amp;表1[[#This Row],[任务ID]]</f>
        <v>quest_name_204029</v>
      </c>
      <c r="E234" s="10" t="str">
        <f>VLOOKUP(表1[[#This Row],[任务名称]],[1]!表1_8[#Data],2,FALSE)</f>
        <v>解锁炮台4500倍</v>
      </c>
      <c r="F234" s="9">
        <v>4</v>
      </c>
      <c r="G234" s="9">
        <v>0</v>
      </c>
      <c r="H234" s="9">
        <v>4500</v>
      </c>
      <c r="I234">
        <v>0</v>
      </c>
      <c r="J234" t="s">
        <v>79</v>
      </c>
      <c r="K234" s="2">
        <v>0</v>
      </c>
    </row>
    <row r="235" spans="1:11" x14ac:dyDescent="0.15">
      <c r="A235" s="8">
        <v>204030</v>
      </c>
      <c r="B235" s="9">
        <v>1</v>
      </c>
      <c r="C235" s="8">
        <v>204031</v>
      </c>
      <c r="D235" s="10" t="str">
        <f>"quest_name_"&amp;表1[[#This Row],[任务ID]]</f>
        <v>quest_name_204030</v>
      </c>
      <c r="E235" s="10" t="str">
        <f>VLOOKUP(表1[[#This Row],[任务名称]],[1]!表1_8[#Data],2,FALSE)</f>
        <v>解锁炮台5000倍</v>
      </c>
      <c r="F235" s="9">
        <v>4</v>
      </c>
      <c r="G235" s="9">
        <v>0</v>
      </c>
      <c r="H235" s="9">
        <v>5000</v>
      </c>
      <c r="I235">
        <v>0</v>
      </c>
      <c r="J235" t="s">
        <v>67</v>
      </c>
      <c r="K235" s="2">
        <v>0</v>
      </c>
    </row>
    <row r="236" spans="1:11" x14ac:dyDescent="0.15">
      <c r="A236" s="8">
        <v>204031</v>
      </c>
      <c r="B236" s="9">
        <v>1</v>
      </c>
      <c r="C236" s="8">
        <v>204032</v>
      </c>
      <c r="D236" s="10" t="str">
        <f>"quest_name_"&amp;表1[[#This Row],[任务ID]]</f>
        <v>quest_name_204031</v>
      </c>
      <c r="E236" s="10" t="str">
        <f>VLOOKUP(表1[[#This Row],[任务名称]],[1]!表1_8[#Data],2,FALSE)</f>
        <v>解锁炮台6000倍</v>
      </c>
      <c r="F236" s="9">
        <v>4</v>
      </c>
      <c r="G236" s="9">
        <v>0</v>
      </c>
      <c r="H236" s="9">
        <v>6000</v>
      </c>
      <c r="I236">
        <v>0</v>
      </c>
      <c r="J236" t="s">
        <v>69</v>
      </c>
      <c r="K236" s="2">
        <v>0</v>
      </c>
    </row>
    <row r="237" spans="1:11" x14ac:dyDescent="0.15">
      <c r="A237" s="8">
        <v>204032</v>
      </c>
      <c r="B237" s="9">
        <v>1</v>
      </c>
      <c r="C237" s="8">
        <v>204033</v>
      </c>
      <c r="D237" s="10" t="str">
        <f>"quest_name_"&amp;表1[[#This Row],[任务ID]]</f>
        <v>quest_name_204032</v>
      </c>
      <c r="E237" s="10" t="str">
        <f>VLOOKUP(表1[[#This Row],[任务名称]],[1]!表1_8[#Data],2,FALSE)</f>
        <v>解锁炮台7000倍</v>
      </c>
      <c r="F237" s="9">
        <v>4</v>
      </c>
      <c r="G237" s="9">
        <v>0</v>
      </c>
      <c r="H237" s="9">
        <v>7000</v>
      </c>
      <c r="I237">
        <v>0</v>
      </c>
      <c r="J237" t="s">
        <v>80</v>
      </c>
      <c r="K237" s="2">
        <v>0</v>
      </c>
    </row>
    <row r="238" spans="1:11" x14ac:dyDescent="0.15">
      <c r="A238" s="8">
        <v>204033</v>
      </c>
      <c r="B238" s="9">
        <v>1</v>
      </c>
      <c r="C238" s="8">
        <v>204034</v>
      </c>
      <c r="D238" s="10" t="str">
        <f>"quest_name_"&amp;表1[[#This Row],[任务ID]]</f>
        <v>quest_name_204033</v>
      </c>
      <c r="E238" s="10" t="str">
        <f>VLOOKUP(表1[[#This Row],[任务名称]],[1]!表1_8[#Data],2,FALSE)</f>
        <v>解锁炮台8000倍</v>
      </c>
      <c r="F238" s="9">
        <v>4</v>
      </c>
      <c r="G238" s="9">
        <v>0</v>
      </c>
      <c r="H238" s="9">
        <v>8000</v>
      </c>
      <c r="I238">
        <v>0</v>
      </c>
      <c r="J238" t="s">
        <v>68</v>
      </c>
      <c r="K238" s="2">
        <v>0</v>
      </c>
    </row>
    <row r="239" spans="1:11" x14ac:dyDescent="0.15">
      <c r="A239" s="8">
        <v>204034</v>
      </c>
      <c r="B239" s="9">
        <v>1</v>
      </c>
      <c r="C239" s="8">
        <v>204035</v>
      </c>
      <c r="D239" s="10" t="str">
        <f>"quest_name_"&amp;表1[[#This Row],[任务ID]]</f>
        <v>quest_name_204034</v>
      </c>
      <c r="E239" s="10" t="str">
        <f>VLOOKUP(表1[[#This Row],[任务名称]],[1]!表1_8[#Data],2,FALSE)</f>
        <v>解锁炮台9000倍</v>
      </c>
      <c r="F239" s="9">
        <v>4</v>
      </c>
      <c r="G239" s="9">
        <v>0</v>
      </c>
      <c r="H239" s="9">
        <v>9000</v>
      </c>
      <c r="I239">
        <v>0</v>
      </c>
      <c r="J239" t="s">
        <v>81</v>
      </c>
      <c r="K239" s="2">
        <v>0</v>
      </c>
    </row>
    <row r="240" spans="1:11" x14ac:dyDescent="0.15">
      <c r="A240" s="8">
        <v>204035</v>
      </c>
      <c r="B240" s="9">
        <v>1</v>
      </c>
      <c r="C240" s="8">
        <v>204036</v>
      </c>
      <c r="D240" s="10" t="str">
        <f>"quest_name_"&amp;表1[[#This Row],[任务ID]]</f>
        <v>quest_name_204035</v>
      </c>
      <c r="E240" s="10" t="str">
        <f>VLOOKUP(表1[[#This Row],[任务名称]],[1]!表1_8[#Data],2,FALSE)</f>
        <v>解锁炮台10000倍</v>
      </c>
      <c r="F240" s="9">
        <v>4</v>
      </c>
      <c r="G240" s="9">
        <v>0</v>
      </c>
      <c r="H240" s="9">
        <v>10000</v>
      </c>
      <c r="I240">
        <v>0</v>
      </c>
      <c r="J240" t="s">
        <v>70</v>
      </c>
      <c r="K240" s="2">
        <v>0</v>
      </c>
    </row>
    <row r="241" spans="1:11" x14ac:dyDescent="0.15">
      <c r="A241" s="8">
        <v>204036</v>
      </c>
      <c r="B241" s="9">
        <v>1</v>
      </c>
      <c r="C241" s="8">
        <v>204037</v>
      </c>
      <c r="D241" s="10" t="str">
        <f>"quest_name_"&amp;表1[[#This Row],[任务ID]]</f>
        <v>quest_name_204036</v>
      </c>
      <c r="E241" s="10" t="str">
        <f>VLOOKUP(表1[[#This Row],[任务名称]],[1]!表1_8[#Data],2,FALSE)</f>
        <v>解锁炮台11000倍</v>
      </c>
      <c r="F241" s="9">
        <v>4</v>
      </c>
      <c r="G241" s="9">
        <v>0</v>
      </c>
      <c r="H241" s="9">
        <v>11000</v>
      </c>
      <c r="I241">
        <v>0</v>
      </c>
      <c r="J241" t="s">
        <v>259</v>
      </c>
      <c r="K241" s="2">
        <v>0</v>
      </c>
    </row>
    <row r="242" spans="1:11" x14ac:dyDescent="0.15">
      <c r="A242" s="8">
        <v>204037</v>
      </c>
      <c r="B242" s="9">
        <v>1</v>
      </c>
      <c r="C242" s="8">
        <v>204038</v>
      </c>
      <c r="D242" s="10" t="str">
        <f>"quest_name_"&amp;表1[[#This Row],[任务ID]]</f>
        <v>quest_name_204037</v>
      </c>
      <c r="E242" s="10" t="str">
        <f>VLOOKUP(表1[[#This Row],[任务名称]],[1]!表1_8[#Data],2,FALSE)</f>
        <v>解锁炮台12000倍</v>
      </c>
      <c r="F242" s="9">
        <v>4</v>
      </c>
      <c r="G242" s="9">
        <v>0</v>
      </c>
      <c r="H242" s="9">
        <v>12000</v>
      </c>
      <c r="I242">
        <v>0</v>
      </c>
      <c r="J242" t="s">
        <v>260</v>
      </c>
      <c r="K242" s="2">
        <v>0</v>
      </c>
    </row>
    <row r="243" spans="1:11" x14ac:dyDescent="0.15">
      <c r="A243" s="8">
        <v>204038</v>
      </c>
      <c r="B243" s="9">
        <v>1</v>
      </c>
      <c r="C243" s="8">
        <v>204039</v>
      </c>
      <c r="D243" s="10" t="str">
        <f>"quest_name_"&amp;表1[[#This Row],[任务ID]]</f>
        <v>quest_name_204038</v>
      </c>
      <c r="E243" s="10" t="str">
        <f>VLOOKUP(表1[[#This Row],[任务名称]],[1]!表1_8[#Data],2,FALSE)</f>
        <v>解锁炮台13000倍</v>
      </c>
      <c r="F243" s="9">
        <v>4</v>
      </c>
      <c r="G243" s="9">
        <v>0</v>
      </c>
      <c r="H243" s="9">
        <v>13000</v>
      </c>
      <c r="I243">
        <v>0</v>
      </c>
      <c r="J243" t="s">
        <v>73</v>
      </c>
      <c r="K243" s="2">
        <v>0</v>
      </c>
    </row>
    <row r="244" spans="1:11" x14ac:dyDescent="0.15">
      <c r="A244" s="8">
        <v>204039</v>
      </c>
      <c r="B244" s="9">
        <v>1</v>
      </c>
      <c r="C244" s="8">
        <v>204040</v>
      </c>
      <c r="D244" s="10" t="str">
        <f>"quest_name_"&amp;表1[[#This Row],[任务ID]]</f>
        <v>quest_name_204039</v>
      </c>
      <c r="E244" s="10" t="str">
        <f>VLOOKUP(表1[[#This Row],[任务名称]],[1]!表1_8[#Data],2,FALSE)</f>
        <v>解锁炮台14000倍</v>
      </c>
      <c r="F244" s="9">
        <v>4</v>
      </c>
      <c r="G244" s="9">
        <v>0</v>
      </c>
      <c r="H244" s="9">
        <v>14000</v>
      </c>
      <c r="I244">
        <v>0</v>
      </c>
      <c r="J244" t="s">
        <v>261</v>
      </c>
      <c r="K244" s="2">
        <v>0</v>
      </c>
    </row>
    <row r="245" spans="1:11" x14ac:dyDescent="0.15">
      <c r="A245" s="8">
        <v>204040</v>
      </c>
      <c r="B245" s="9">
        <v>1</v>
      </c>
      <c r="C245" s="8">
        <v>204041</v>
      </c>
      <c r="D245" s="10" t="str">
        <f>"quest_name_"&amp;表1[[#This Row],[任务ID]]</f>
        <v>quest_name_204040</v>
      </c>
      <c r="E245" s="10" t="str">
        <f>VLOOKUP(表1[[#This Row],[任务名称]],[1]!表1_8[#Data],2,FALSE)</f>
        <v>解锁炮台15000倍</v>
      </c>
      <c r="F245" s="9">
        <v>4</v>
      </c>
      <c r="G245" s="9">
        <v>0</v>
      </c>
      <c r="H245" s="9">
        <v>15000</v>
      </c>
      <c r="I245">
        <v>0</v>
      </c>
      <c r="J245" t="s">
        <v>262</v>
      </c>
      <c r="K245" s="2">
        <v>0</v>
      </c>
    </row>
    <row r="246" spans="1:11" x14ac:dyDescent="0.15">
      <c r="A246" s="8">
        <v>204041</v>
      </c>
      <c r="B246" s="9">
        <v>1</v>
      </c>
      <c r="C246" s="8">
        <v>204042</v>
      </c>
      <c r="D246" s="10" t="str">
        <f>"quest_name_"&amp;表1[[#This Row],[任务ID]]</f>
        <v>quest_name_204041</v>
      </c>
      <c r="E246" s="10" t="str">
        <f>VLOOKUP(表1[[#This Row],[任务名称]],[1]!表1_8[#Data],2,FALSE)</f>
        <v>解锁炮台20000倍</v>
      </c>
      <c r="F246" s="9">
        <v>4</v>
      </c>
      <c r="G246" s="9">
        <v>0</v>
      </c>
      <c r="H246" s="9">
        <v>20000</v>
      </c>
      <c r="I246">
        <v>0</v>
      </c>
      <c r="J246" t="s">
        <v>263</v>
      </c>
      <c r="K246" s="2">
        <v>0</v>
      </c>
    </row>
    <row r="247" spans="1:11" x14ac:dyDescent="0.15">
      <c r="A247" s="8">
        <v>204042</v>
      </c>
      <c r="B247" s="9">
        <v>1</v>
      </c>
      <c r="C247" s="8">
        <v>204043</v>
      </c>
      <c r="D247" s="10" t="str">
        <f>"quest_name_"&amp;表1[[#This Row],[任务ID]]</f>
        <v>quest_name_204042</v>
      </c>
      <c r="E247" s="10" t="str">
        <f>VLOOKUP(表1[[#This Row],[任务名称]],[1]!表1_8[#Data],2,FALSE)</f>
        <v>解锁炮台25000倍</v>
      </c>
      <c r="F247" s="9">
        <v>4</v>
      </c>
      <c r="G247" s="9">
        <v>0</v>
      </c>
      <c r="H247" s="9">
        <v>25000</v>
      </c>
      <c r="I247">
        <v>0</v>
      </c>
      <c r="J247" t="s">
        <v>264</v>
      </c>
      <c r="K247" s="2">
        <v>0</v>
      </c>
    </row>
    <row r="248" spans="1:11" x14ac:dyDescent="0.15">
      <c r="A248" s="8">
        <v>204043</v>
      </c>
      <c r="B248" s="9">
        <v>1</v>
      </c>
      <c r="C248" s="8">
        <v>204044</v>
      </c>
      <c r="D248" s="10" t="str">
        <f>"quest_name_"&amp;表1[[#This Row],[任务ID]]</f>
        <v>quest_name_204043</v>
      </c>
      <c r="E248" s="10" t="str">
        <f>VLOOKUP(表1[[#This Row],[任务名称]],[1]!表1_8[#Data],2,FALSE)</f>
        <v>解锁炮台30000倍</v>
      </c>
      <c r="F248" s="9">
        <v>4</v>
      </c>
      <c r="G248" s="9">
        <v>0</v>
      </c>
      <c r="H248" s="9">
        <v>30000</v>
      </c>
      <c r="I248">
        <v>0</v>
      </c>
      <c r="J248" t="s">
        <v>71</v>
      </c>
      <c r="K248" s="2">
        <v>0</v>
      </c>
    </row>
    <row r="249" spans="1:11" x14ac:dyDescent="0.15">
      <c r="A249" s="8">
        <v>204044</v>
      </c>
      <c r="B249" s="9">
        <v>1</v>
      </c>
      <c r="C249" s="8">
        <v>204045</v>
      </c>
      <c r="D249" s="10" t="str">
        <f>"quest_name_"&amp;表1[[#This Row],[任务ID]]</f>
        <v>quest_name_204044</v>
      </c>
      <c r="E249" s="10" t="str">
        <f>VLOOKUP(表1[[#This Row],[任务名称]],[1]!表1_8[#Data],2,FALSE)</f>
        <v>解锁炮台35000倍</v>
      </c>
      <c r="F249" s="9">
        <v>4</v>
      </c>
      <c r="G249" s="9">
        <v>0</v>
      </c>
      <c r="H249" s="9">
        <v>35000</v>
      </c>
      <c r="I249">
        <v>0</v>
      </c>
      <c r="J249" t="s">
        <v>265</v>
      </c>
      <c r="K249" s="2">
        <v>0</v>
      </c>
    </row>
    <row r="250" spans="1:11" x14ac:dyDescent="0.15">
      <c r="A250" s="8">
        <v>204045</v>
      </c>
      <c r="B250" s="9">
        <v>1</v>
      </c>
      <c r="C250" s="8">
        <v>204046</v>
      </c>
      <c r="D250" s="10" t="str">
        <f>"quest_name_"&amp;表1[[#This Row],[任务ID]]</f>
        <v>quest_name_204045</v>
      </c>
      <c r="E250" s="10" t="str">
        <f>VLOOKUP(表1[[#This Row],[任务名称]],[1]!表1_8[#Data],2,FALSE)</f>
        <v>解锁炮台40000倍</v>
      </c>
      <c r="F250" s="9">
        <v>4</v>
      </c>
      <c r="G250" s="9">
        <v>0</v>
      </c>
      <c r="H250" s="9">
        <v>40000</v>
      </c>
      <c r="I250">
        <v>0</v>
      </c>
      <c r="J250" t="s">
        <v>266</v>
      </c>
      <c r="K250" s="2">
        <v>0</v>
      </c>
    </row>
    <row r="251" spans="1:11" x14ac:dyDescent="0.15">
      <c r="A251" s="8">
        <v>204046</v>
      </c>
      <c r="B251" s="9">
        <v>1</v>
      </c>
      <c r="C251" s="8">
        <v>204047</v>
      </c>
      <c r="D251" s="10" t="str">
        <f>"quest_name_"&amp;表1[[#This Row],[任务ID]]</f>
        <v>quest_name_204046</v>
      </c>
      <c r="E251" s="10" t="str">
        <f>VLOOKUP(表1[[#This Row],[任务名称]],[1]!表1_8[#Data],2,FALSE)</f>
        <v>解锁炮台45000倍</v>
      </c>
      <c r="F251" s="9">
        <v>4</v>
      </c>
      <c r="G251" s="9">
        <v>0</v>
      </c>
      <c r="H251" s="9">
        <v>45000</v>
      </c>
      <c r="I251">
        <v>0</v>
      </c>
      <c r="J251" t="s">
        <v>267</v>
      </c>
      <c r="K251" s="2">
        <v>0</v>
      </c>
    </row>
    <row r="252" spans="1:11" x14ac:dyDescent="0.15">
      <c r="A252" s="8">
        <v>204047</v>
      </c>
      <c r="B252" s="9">
        <v>1</v>
      </c>
      <c r="C252" s="8">
        <v>204048</v>
      </c>
      <c r="D252" s="10" t="str">
        <f>"quest_name_"&amp;表1[[#This Row],[任务ID]]</f>
        <v>quest_name_204047</v>
      </c>
      <c r="E252" s="10" t="str">
        <f>VLOOKUP(表1[[#This Row],[任务名称]],[1]!表1_8[#Data],2,FALSE)</f>
        <v>解锁炮台50000倍</v>
      </c>
      <c r="F252" s="9">
        <v>4</v>
      </c>
      <c r="G252" s="9">
        <v>0</v>
      </c>
      <c r="H252" s="9">
        <v>50000</v>
      </c>
      <c r="I252">
        <v>0</v>
      </c>
      <c r="J252" t="s">
        <v>268</v>
      </c>
      <c r="K252" s="2">
        <v>0</v>
      </c>
    </row>
    <row r="253" spans="1:11" x14ac:dyDescent="0.15">
      <c r="A253" s="8">
        <v>204048</v>
      </c>
      <c r="B253" s="9">
        <v>1</v>
      </c>
      <c r="C253" s="8">
        <v>204049</v>
      </c>
      <c r="D253" s="10" t="str">
        <f>"quest_name_"&amp;表1[[#This Row],[任务ID]]</f>
        <v>quest_name_204048</v>
      </c>
      <c r="E253" s="10" t="str">
        <f>VLOOKUP(表1[[#This Row],[任务名称]],[1]!表1_8[#Data],2,FALSE)</f>
        <v>解锁炮台60000倍</v>
      </c>
      <c r="F253" s="9">
        <v>4</v>
      </c>
      <c r="G253" s="9">
        <v>0</v>
      </c>
      <c r="H253" s="9">
        <v>60000</v>
      </c>
      <c r="I253">
        <v>0</v>
      </c>
      <c r="J253" t="s">
        <v>74</v>
      </c>
      <c r="K253" s="2">
        <v>0</v>
      </c>
    </row>
    <row r="254" spans="1:11" x14ac:dyDescent="0.15">
      <c r="A254" s="8">
        <v>204049</v>
      </c>
      <c r="B254" s="9">
        <v>1</v>
      </c>
      <c r="C254" s="8">
        <v>204050</v>
      </c>
      <c r="D254" s="10" t="str">
        <f>"quest_name_"&amp;表1[[#This Row],[任务ID]]</f>
        <v>quest_name_204049</v>
      </c>
      <c r="E254" s="10" t="str">
        <f>VLOOKUP(表1[[#This Row],[任务名称]],[1]!表1_8[#Data],2,FALSE)</f>
        <v>解锁炮台70000倍</v>
      </c>
      <c r="F254" s="9">
        <v>4</v>
      </c>
      <c r="G254" s="9">
        <v>0</v>
      </c>
      <c r="H254" s="9">
        <v>70000</v>
      </c>
      <c r="I254">
        <v>0</v>
      </c>
      <c r="J254" t="s">
        <v>269</v>
      </c>
      <c r="K254" s="2">
        <v>0</v>
      </c>
    </row>
    <row r="255" spans="1:11" x14ac:dyDescent="0.15">
      <c r="A255" s="8">
        <v>204050</v>
      </c>
      <c r="B255" s="9">
        <v>1</v>
      </c>
      <c r="C255" s="8">
        <v>204051</v>
      </c>
      <c r="D255" s="10" t="str">
        <f>"quest_name_"&amp;表1[[#This Row],[任务ID]]</f>
        <v>quest_name_204050</v>
      </c>
      <c r="E255" s="10" t="str">
        <f>VLOOKUP(表1[[#This Row],[任务名称]],[1]!表1_8[#Data],2,FALSE)</f>
        <v>解锁炮台80000倍</v>
      </c>
      <c r="F255" s="9">
        <v>4</v>
      </c>
      <c r="G255" s="9">
        <v>0</v>
      </c>
      <c r="H255" s="9">
        <v>80000</v>
      </c>
      <c r="I255">
        <v>0</v>
      </c>
      <c r="J255" t="s">
        <v>270</v>
      </c>
      <c r="K255" s="2">
        <v>0</v>
      </c>
    </row>
    <row r="256" spans="1:11" x14ac:dyDescent="0.15">
      <c r="A256" s="8">
        <v>204051</v>
      </c>
      <c r="B256" s="9">
        <v>1</v>
      </c>
      <c r="C256" s="8">
        <v>204052</v>
      </c>
      <c r="D256" s="10" t="str">
        <f>"quest_name_"&amp;表1[[#This Row],[任务ID]]</f>
        <v>quest_name_204051</v>
      </c>
      <c r="E256" s="10" t="str">
        <f>VLOOKUP(表1[[#This Row],[任务名称]],[1]!表1_8[#Data],2,FALSE)</f>
        <v>解锁炮台90000倍</v>
      </c>
      <c r="F256" s="9">
        <v>4</v>
      </c>
      <c r="G256" s="9">
        <v>0</v>
      </c>
      <c r="H256" s="9">
        <v>90000</v>
      </c>
      <c r="I256">
        <v>0</v>
      </c>
      <c r="J256" t="s">
        <v>271</v>
      </c>
      <c r="K256" s="2">
        <v>0</v>
      </c>
    </row>
    <row r="257" spans="1:11" x14ac:dyDescent="0.15">
      <c r="A257" s="8">
        <v>204052</v>
      </c>
      <c r="B257" s="9">
        <v>1</v>
      </c>
      <c r="C257" s="8">
        <v>0</v>
      </c>
      <c r="D257" s="10" t="str">
        <f>"quest_name_"&amp;表1[[#This Row],[任务ID]]</f>
        <v>quest_name_204052</v>
      </c>
      <c r="E257" s="10" t="str">
        <f>VLOOKUP(表1[[#This Row],[任务名称]],[1]!表1_8[#Data],2,FALSE)</f>
        <v>解锁炮台100000倍</v>
      </c>
      <c r="F257" s="9">
        <v>4</v>
      </c>
      <c r="G257" s="9">
        <v>0</v>
      </c>
      <c r="H257" s="9">
        <v>100000</v>
      </c>
      <c r="I257">
        <v>0</v>
      </c>
      <c r="J257" t="s">
        <v>272</v>
      </c>
      <c r="K257" s="2">
        <v>0</v>
      </c>
    </row>
    <row r="258" spans="1:11" x14ac:dyDescent="0.15">
      <c r="A258" s="8">
        <v>205000</v>
      </c>
      <c r="B258" s="9">
        <v>1</v>
      </c>
      <c r="C258" s="8">
        <v>205001</v>
      </c>
      <c r="D258" s="10" t="str">
        <f>"quest_name_"&amp;表1[[#This Row],[任务ID]]</f>
        <v>quest_name_205000</v>
      </c>
      <c r="E258" s="10" t="str">
        <f>VLOOKUP(表1[[#This Row],[任务名称]],[1]!表1_8[#Data],2,FALSE)</f>
        <v>利用闪电鱼电死20条其他鱼</v>
      </c>
      <c r="F258" s="9">
        <v>5</v>
      </c>
      <c r="G258" s="9">
        <v>17</v>
      </c>
      <c r="H258" s="9">
        <v>20</v>
      </c>
      <c r="I258">
        <v>0</v>
      </c>
      <c r="J258" t="s">
        <v>201</v>
      </c>
      <c r="K258" s="2">
        <v>0</v>
      </c>
    </row>
    <row r="259" spans="1:11" x14ac:dyDescent="0.15">
      <c r="A259" s="8">
        <v>205001</v>
      </c>
      <c r="B259" s="9">
        <v>1</v>
      </c>
      <c r="C259" s="8">
        <v>205002</v>
      </c>
      <c r="D259" s="10" t="str">
        <f>"quest_name_"&amp;表1[[#This Row],[任务ID]]</f>
        <v>quest_name_205001</v>
      </c>
      <c r="E259" s="10" t="str">
        <f>VLOOKUP(表1[[#This Row],[任务名称]],[1]!表1_8[#Data],2,FALSE)</f>
        <v>利用闪电鱼电死80条其他鱼</v>
      </c>
      <c r="F259" s="9">
        <v>5</v>
      </c>
      <c r="G259" s="9">
        <v>17</v>
      </c>
      <c r="H259" s="9">
        <v>80</v>
      </c>
      <c r="I259">
        <v>0</v>
      </c>
      <c r="J259" t="s">
        <v>202</v>
      </c>
      <c r="K259" s="2">
        <v>0</v>
      </c>
    </row>
    <row r="260" spans="1:11" x14ac:dyDescent="0.15">
      <c r="A260" s="8">
        <v>205002</v>
      </c>
      <c r="B260" s="9">
        <v>1</v>
      </c>
      <c r="C260" s="8">
        <v>205003</v>
      </c>
      <c r="D260" s="10" t="str">
        <f>"quest_name_"&amp;表1[[#This Row],[任务ID]]</f>
        <v>quest_name_205002</v>
      </c>
      <c r="E260" s="10" t="str">
        <f>VLOOKUP(表1[[#This Row],[任务名称]],[1]!表1_8[#Data],2,FALSE)</f>
        <v>利用闪电鱼电死200条其他鱼</v>
      </c>
      <c r="F260" s="9">
        <v>5</v>
      </c>
      <c r="G260" s="9">
        <v>17</v>
      </c>
      <c r="H260" s="9">
        <v>200</v>
      </c>
      <c r="I260">
        <v>0</v>
      </c>
      <c r="J260" t="s">
        <v>203</v>
      </c>
      <c r="K260" s="2">
        <v>0</v>
      </c>
    </row>
    <row r="261" spans="1:11" x14ac:dyDescent="0.15">
      <c r="A261" s="8">
        <v>205003</v>
      </c>
      <c r="B261" s="9">
        <v>1</v>
      </c>
      <c r="C261" s="8">
        <v>205004</v>
      </c>
      <c r="D261" s="10" t="str">
        <f>"quest_name_"&amp;表1[[#This Row],[任务ID]]</f>
        <v>quest_name_205003</v>
      </c>
      <c r="E261" s="10" t="str">
        <f>VLOOKUP(表1[[#This Row],[任务名称]],[1]!表1_8[#Data],2,FALSE)</f>
        <v>利用闪电鱼电死800条其他鱼</v>
      </c>
      <c r="F261" s="9">
        <v>5</v>
      </c>
      <c r="G261" s="9">
        <v>17</v>
      </c>
      <c r="H261" s="9">
        <v>800</v>
      </c>
      <c r="I261">
        <v>0</v>
      </c>
      <c r="J261" t="s">
        <v>204</v>
      </c>
      <c r="K261" s="2">
        <v>0</v>
      </c>
    </row>
    <row r="262" spans="1:11" x14ac:dyDescent="0.15">
      <c r="A262" s="8">
        <v>205004</v>
      </c>
      <c r="B262" s="9">
        <v>1</v>
      </c>
      <c r="C262" s="8">
        <v>205005</v>
      </c>
      <c r="D262" s="10" t="str">
        <f>"quest_name_"&amp;表1[[#This Row],[任务ID]]</f>
        <v>quest_name_205004</v>
      </c>
      <c r="E262" s="10" t="str">
        <f>VLOOKUP(表1[[#This Row],[任务名称]],[1]!表1_8[#Data],2,FALSE)</f>
        <v>利用闪电鱼电死2000条其他鱼</v>
      </c>
      <c r="F262" s="9">
        <v>5</v>
      </c>
      <c r="G262" s="9">
        <v>17</v>
      </c>
      <c r="H262" s="9">
        <v>2000</v>
      </c>
      <c r="I262">
        <v>0</v>
      </c>
      <c r="J262" t="s">
        <v>205</v>
      </c>
      <c r="K262" s="2">
        <v>0</v>
      </c>
    </row>
    <row r="263" spans="1:11" x14ac:dyDescent="0.15">
      <c r="A263" s="8">
        <v>205005</v>
      </c>
      <c r="B263" s="9">
        <v>1</v>
      </c>
      <c r="C263" s="8">
        <v>205006</v>
      </c>
      <c r="D263" s="10" t="str">
        <f>"quest_name_"&amp;表1[[#This Row],[任务ID]]</f>
        <v>quest_name_205005</v>
      </c>
      <c r="E263" s="10" t="str">
        <f>VLOOKUP(表1[[#This Row],[任务名称]],[1]!表1_8[#Data],2,FALSE)</f>
        <v>利用闪电鱼电死6000条其他鱼</v>
      </c>
      <c r="F263" s="9">
        <v>5</v>
      </c>
      <c r="G263" s="9">
        <v>17</v>
      </c>
      <c r="H263" s="9">
        <v>6000</v>
      </c>
      <c r="I263">
        <v>0</v>
      </c>
      <c r="J263" t="s">
        <v>206</v>
      </c>
      <c r="K263" s="2">
        <v>0</v>
      </c>
    </row>
    <row r="264" spans="1:11" x14ac:dyDescent="0.15">
      <c r="A264" s="8">
        <v>205006</v>
      </c>
      <c r="B264" s="9">
        <v>1</v>
      </c>
      <c r="C264" s="8">
        <v>205007</v>
      </c>
      <c r="D264" s="10" t="str">
        <f>"quest_name_"&amp;表1[[#This Row],[任务ID]]</f>
        <v>quest_name_205006</v>
      </c>
      <c r="E264" s="10" t="str">
        <f>VLOOKUP(表1[[#This Row],[任务名称]],[1]!表1_8[#Data],2,FALSE)</f>
        <v>利用闪电鱼电死15000条其他鱼</v>
      </c>
      <c r="F264" s="9">
        <v>5</v>
      </c>
      <c r="G264" s="9">
        <v>17</v>
      </c>
      <c r="H264" s="9">
        <v>15000</v>
      </c>
      <c r="I264">
        <v>0</v>
      </c>
      <c r="J264" t="s">
        <v>207</v>
      </c>
      <c r="K264" s="2">
        <v>0</v>
      </c>
    </row>
    <row r="265" spans="1:11" x14ac:dyDescent="0.15">
      <c r="A265" s="8">
        <v>205007</v>
      </c>
      <c r="B265" s="9">
        <v>1</v>
      </c>
      <c r="C265" s="8">
        <v>205008</v>
      </c>
      <c r="D265" s="10" t="str">
        <f>"quest_name_"&amp;表1[[#This Row],[任务ID]]</f>
        <v>quest_name_205007</v>
      </c>
      <c r="E265" s="10" t="str">
        <f>VLOOKUP(表1[[#This Row],[任务名称]],[1]!表1_8[#Data],2,FALSE)</f>
        <v>利用闪电鱼电死50000条其他鱼</v>
      </c>
      <c r="F265" s="9">
        <v>5</v>
      </c>
      <c r="G265" s="9">
        <v>17</v>
      </c>
      <c r="H265" s="9">
        <v>50000</v>
      </c>
      <c r="I265">
        <v>0</v>
      </c>
      <c r="J265" t="s">
        <v>208</v>
      </c>
      <c r="K265" s="2">
        <v>0</v>
      </c>
    </row>
    <row r="266" spans="1:11" x14ac:dyDescent="0.15">
      <c r="A266" s="8">
        <v>205008</v>
      </c>
      <c r="B266" s="9">
        <v>1</v>
      </c>
      <c r="C266" s="8">
        <v>205009</v>
      </c>
      <c r="D266" s="10" t="str">
        <f>"quest_name_"&amp;表1[[#This Row],[任务ID]]</f>
        <v>quest_name_205008</v>
      </c>
      <c r="E266" s="10" t="str">
        <f>VLOOKUP(表1[[#This Row],[任务名称]],[1]!表1_8[#Data],2,FALSE)</f>
        <v>利用闪电鱼电死100000条其他鱼</v>
      </c>
      <c r="F266" s="9">
        <v>5</v>
      </c>
      <c r="G266" s="9">
        <v>17</v>
      </c>
      <c r="H266" s="9">
        <v>100000</v>
      </c>
      <c r="I266">
        <v>0</v>
      </c>
      <c r="J266" t="s">
        <v>209</v>
      </c>
      <c r="K266" s="2">
        <v>0</v>
      </c>
    </row>
    <row r="267" spans="1:11" x14ac:dyDescent="0.15">
      <c r="A267" s="8">
        <v>205009</v>
      </c>
      <c r="B267" s="9">
        <v>1</v>
      </c>
      <c r="C267" s="8">
        <v>0</v>
      </c>
      <c r="D267" s="10" t="str">
        <f>"quest_name_"&amp;表1[[#This Row],[任务ID]]</f>
        <v>quest_name_205009</v>
      </c>
      <c r="E267" s="10" t="str">
        <f>VLOOKUP(表1[[#This Row],[任务名称]],[1]!表1_8[#Data],2,FALSE)</f>
        <v>利用闪电鱼电死1000000条其他鱼</v>
      </c>
      <c r="F267" s="9">
        <v>5</v>
      </c>
      <c r="G267" s="9">
        <v>17</v>
      </c>
      <c r="H267" s="9">
        <v>1000000</v>
      </c>
      <c r="I267">
        <v>0</v>
      </c>
      <c r="J267" t="s">
        <v>210</v>
      </c>
      <c r="K267" s="2">
        <v>0</v>
      </c>
    </row>
    <row r="268" spans="1:11" x14ac:dyDescent="0.15">
      <c r="A268" s="8">
        <v>201900</v>
      </c>
      <c r="B268" s="9">
        <v>1</v>
      </c>
      <c r="C268" s="8">
        <v>201901</v>
      </c>
      <c r="D268" s="10" t="str">
        <f>"quest_name_"&amp;表1[[#This Row],[任务ID]]</f>
        <v>quest_name_201900</v>
      </c>
      <c r="E268" s="10" t="str">
        <f>VLOOKUP(表1[[#This Row],[任务名称]],[1]!表1_8[#Data],2,FALSE)</f>
        <v>利用爆炸鱼炸死20条其他鱼</v>
      </c>
      <c r="F268" s="9">
        <v>5</v>
      </c>
      <c r="G268" s="9">
        <v>19</v>
      </c>
      <c r="H268" s="9">
        <v>20</v>
      </c>
      <c r="I268">
        <v>0</v>
      </c>
      <c r="J268" t="s">
        <v>201</v>
      </c>
      <c r="K268" s="2">
        <v>0</v>
      </c>
    </row>
    <row r="269" spans="1:11" x14ac:dyDescent="0.15">
      <c r="A269" s="8">
        <v>201901</v>
      </c>
      <c r="B269" s="9">
        <v>1</v>
      </c>
      <c r="C269" s="8">
        <v>201902</v>
      </c>
      <c r="D269" s="10" t="str">
        <f>"quest_name_"&amp;表1[[#This Row],[任务ID]]</f>
        <v>quest_name_201901</v>
      </c>
      <c r="E269" s="10" t="str">
        <f>VLOOKUP(表1[[#This Row],[任务名称]],[1]!表1_8[#Data],2,FALSE)</f>
        <v>利用爆炸鱼炸死80条其他鱼</v>
      </c>
      <c r="F269" s="9">
        <v>5</v>
      </c>
      <c r="G269" s="9">
        <v>19</v>
      </c>
      <c r="H269" s="9">
        <v>80</v>
      </c>
      <c r="I269">
        <v>0</v>
      </c>
      <c r="J269" t="s">
        <v>202</v>
      </c>
      <c r="K269" s="2">
        <v>0</v>
      </c>
    </row>
    <row r="270" spans="1:11" x14ac:dyDescent="0.15">
      <c r="A270" s="8">
        <v>201902</v>
      </c>
      <c r="B270" s="9">
        <v>1</v>
      </c>
      <c r="C270" s="8">
        <v>201903</v>
      </c>
      <c r="D270" s="10" t="str">
        <f>"quest_name_"&amp;表1[[#This Row],[任务ID]]</f>
        <v>quest_name_201902</v>
      </c>
      <c r="E270" s="10" t="str">
        <f>VLOOKUP(表1[[#This Row],[任务名称]],[1]!表1_8[#Data],2,FALSE)</f>
        <v>利用爆炸鱼炸死200条其他鱼</v>
      </c>
      <c r="F270" s="9">
        <v>5</v>
      </c>
      <c r="G270" s="9">
        <v>19</v>
      </c>
      <c r="H270" s="9">
        <v>200</v>
      </c>
      <c r="I270">
        <v>0</v>
      </c>
      <c r="J270" t="s">
        <v>203</v>
      </c>
      <c r="K270" s="2">
        <v>0</v>
      </c>
    </row>
    <row r="271" spans="1:11" x14ac:dyDescent="0.15">
      <c r="A271" s="8">
        <v>201903</v>
      </c>
      <c r="B271" s="9">
        <v>1</v>
      </c>
      <c r="C271" s="8">
        <v>201904</v>
      </c>
      <c r="D271" s="10" t="str">
        <f>"quest_name_"&amp;表1[[#This Row],[任务ID]]</f>
        <v>quest_name_201903</v>
      </c>
      <c r="E271" s="10" t="str">
        <f>VLOOKUP(表1[[#This Row],[任务名称]],[1]!表1_8[#Data],2,FALSE)</f>
        <v>利用爆炸鱼炸死800条其他鱼</v>
      </c>
      <c r="F271" s="9">
        <v>5</v>
      </c>
      <c r="G271" s="9">
        <v>19</v>
      </c>
      <c r="H271" s="9">
        <v>800</v>
      </c>
      <c r="I271">
        <v>0</v>
      </c>
      <c r="J271" t="s">
        <v>204</v>
      </c>
      <c r="K271" s="2">
        <v>0</v>
      </c>
    </row>
    <row r="272" spans="1:11" x14ac:dyDescent="0.15">
      <c r="A272" s="8">
        <v>201904</v>
      </c>
      <c r="B272" s="9">
        <v>1</v>
      </c>
      <c r="C272" s="8">
        <v>201905</v>
      </c>
      <c r="D272" s="10" t="str">
        <f>"quest_name_"&amp;表1[[#This Row],[任务ID]]</f>
        <v>quest_name_201904</v>
      </c>
      <c r="E272" s="10" t="str">
        <f>VLOOKUP(表1[[#This Row],[任务名称]],[1]!表1_8[#Data],2,FALSE)</f>
        <v>利用爆炸鱼炸死2000条其他鱼</v>
      </c>
      <c r="F272" s="9">
        <v>5</v>
      </c>
      <c r="G272" s="9">
        <v>19</v>
      </c>
      <c r="H272" s="9">
        <v>2000</v>
      </c>
      <c r="I272">
        <v>0</v>
      </c>
      <c r="J272" t="s">
        <v>205</v>
      </c>
      <c r="K272" s="2">
        <v>0</v>
      </c>
    </row>
    <row r="273" spans="1:11" x14ac:dyDescent="0.15">
      <c r="A273" s="8">
        <v>201905</v>
      </c>
      <c r="B273" s="9">
        <v>1</v>
      </c>
      <c r="C273" s="8">
        <v>201906</v>
      </c>
      <c r="D273" s="10" t="str">
        <f>"quest_name_"&amp;表1[[#This Row],[任务ID]]</f>
        <v>quest_name_201905</v>
      </c>
      <c r="E273" s="10" t="str">
        <f>VLOOKUP(表1[[#This Row],[任务名称]],[1]!表1_8[#Data],2,FALSE)</f>
        <v>利用爆炸鱼炸死6000条其他鱼</v>
      </c>
      <c r="F273" s="9">
        <v>5</v>
      </c>
      <c r="G273" s="9">
        <v>19</v>
      </c>
      <c r="H273" s="9">
        <v>6000</v>
      </c>
      <c r="I273">
        <v>0</v>
      </c>
      <c r="J273" t="s">
        <v>206</v>
      </c>
      <c r="K273" s="2">
        <v>0</v>
      </c>
    </row>
    <row r="274" spans="1:11" x14ac:dyDescent="0.15">
      <c r="A274" s="8">
        <v>201906</v>
      </c>
      <c r="B274" s="9">
        <v>1</v>
      </c>
      <c r="C274" s="8">
        <v>201907</v>
      </c>
      <c r="D274" s="10" t="str">
        <f>"quest_name_"&amp;表1[[#This Row],[任务ID]]</f>
        <v>quest_name_201906</v>
      </c>
      <c r="E274" s="10" t="str">
        <f>VLOOKUP(表1[[#This Row],[任务名称]],[1]!表1_8[#Data],2,FALSE)</f>
        <v>利用爆炸鱼炸死15000条其他鱼</v>
      </c>
      <c r="F274" s="9">
        <v>5</v>
      </c>
      <c r="G274" s="9">
        <v>19</v>
      </c>
      <c r="H274" s="9">
        <v>15000</v>
      </c>
      <c r="I274">
        <v>0</v>
      </c>
      <c r="J274" t="s">
        <v>207</v>
      </c>
      <c r="K274" s="2">
        <v>0</v>
      </c>
    </row>
    <row r="275" spans="1:11" x14ac:dyDescent="0.15">
      <c r="A275" s="8">
        <v>201907</v>
      </c>
      <c r="B275" s="9">
        <v>1</v>
      </c>
      <c r="C275" s="8">
        <v>201908</v>
      </c>
      <c r="D275" s="10" t="str">
        <f>"quest_name_"&amp;表1[[#This Row],[任务ID]]</f>
        <v>quest_name_201907</v>
      </c>
      <c r="E275" s="10" t="str">
        <f>VLOOKUP(表1[[#This Row],[任务名称]],[1]!表1_8[#Data],2,FALSE)</f>
        <v>利用爆炸鱼炸死50000条其他鱼</v>
      </c>
      <c r="F275" s="9">
        <v>5</v>
      </c>
      <c r="G275" s="9">
        <v>19</v>
      </c>
      <c r="H275" s="9">
        <v>50000</v>
      </c>
      <c r="I275">
        <v>0</v>
      </c>
      <c r="J275" t="s">
        <v>208</v>
      </c>
      <c r="K275" s="2">
        <v>0</v>
      </c>
    </row>
    <row r="276" spans="1:11" x14ac:dyDescent="0.15">
      <c r="A276" s="8">
        <v>201908</v>
      </c>
      <c r="B276" s="9">
        <v>1</v>
      </c>
      <c r="C276" s="8">
        <v>201909</v>
      </c>
      <c r="D276" s="10" t="str">
        <f>"quest_name_"&amp;表1[[#This Row],[任务ID]]</f>
        <v>quest_name_201908</v>
      </c>
      <c r="E276" s="10" t="str">
        <f>VLOOKUP(表1[[#This Row],[任务名称]],[1]!表1_8[#Data],2,FALSE)</f>
        <v>利用爆炸鱼炸死100000条其他鱼</v>
      </c>
      <c r="F276" s="9">
        <v>5</v>
      </c>
      <c r="G276" s="9">
        <v>19</v>
      </c>
      <c r="H276" s="9">
        <v>100000</v>
      </c>
      <c r="I276">
        <v>0</v>
      </c>
      <c r="J276" t="s">
        <v>209</v>
      </c>
      <c r="K276" s="2">
        <v>0</v>
      </c>
    </row>
    <row r="277" spans="1:11" x14ac:dyDescent="0.15">
      <c r="A277" s="8">
        <v>201909</v>
      </c>
      <c r="B277" s="9">
        <v>1</v>
      </c>
      <c r="C277" s="8">
        <v>0</v>
      </c>
      <c r="D277" s="10" t="str">
        <f>"quest_name_"&amp;表1[[#This Row],[任务ID]]</f>
        <v>quest_name_201909</v>
      </c>
      <c r="E277" s="10" t="str">
        <f>VLOOKUP(表1[[#This Row],[任务名称]],[1]!表1_8[#Data],2,FALSE)</f>
        <v>利用爆炸鱼炸死1000000条其他鱼</v>
      </c>
      <c r="F277" s="9">
        <v>5</v>
      </c>
      <c r="G277" s="9">
        <v>19</v>
      </c>
      <c r="H277" s="9">
        <v>1000000</v>
      </c>
      <c r="I277">
        <v>0</v>
      </c>
      <c r="J277" t="s">
        <v>210</v>
      </c>
      <c r="K277" s="2">
        <v>0</v>
      </c>
    </row>
    <row r="278" spans="1:11" x14ac:dyDescent="0.15">
      <c r="A278" s="8">
        <v>206000</v>
      </c>
      <c r="B278" s="9">
        <v>1</v>
      </c>
      <c r="C278" s="8">
        <v>206001</v>
      </c>
      <c r="D278" s="10" t="str">
        <f>"quest_name_"&amp;表1[[#This Row],[任务ID]]</f>
        <v>quest_name_206000</v>
      </c>
      <c r="E278" s="10" t="str">
        <f>VLOOKUP(表1[[#This Row],[任务名称]],[1]!表1_8[#Data],2,FALSE)</f>
        <v>获得炮台皮肤2个</v>
      </c>
      <c r="F278" s="9">
        <v>6</v>
      </c>
      <c r="G278" s="9">
        <v>0</v>
      </c>
      <c r="H278" s="9">
        <v>2</v>
      </c>
      <c r="I278">
        <v>0</v>
      </c>
      <c r="J278" t="s">
        <v>228</v>
      </c>
      <c r="K278" s="2">
        <v>0</v>
      </c>
    </row>
    <row r="279" spans="1:11" x14ac:dyDescent="0.15">
      <c r="A279" s="8">
        <v>206001</v>
      </c>
      <c r="B279" s="9">
        <v>1</v>
      </c>
      <c r="C279" s="8">
        <v>206002</v>
      </c>
      <c r="D279" s="10" t="str">
        <f>"quest_name_"&amp;表1[[#This Row],[任务ID]]</f>
        <v>quest_name_206001</v>
      </c>
      <c r="E279" s="10" t="str">
        <f>VLOOKUP(表1[[#This Row],[任务名称]],[1]!表1_8[#Data],2,FALSE)</f>
        <v>获得炮台皮肤3个</v>
      </c>
      <c r="F279" s="9">
        <v>6</v>
      </c>
      <c r="G279" s="9">
        <v>0</v>
      </c>
      <c r="H279" s="9">
        <v>3</v>
      </c>
      <c r="I279">
        <v>0</v>
      </c>
      <c r="J279" t="s">
        <v>47</v>
      </c>
      <c r="K279" s="2">
        <v>0</v>
      </c>
    </row>
    <row r="280" spans="1:11" x14ac:dyDescent="0.15">
      <c r="A280" s="8">
        <v>206002</v>
      </c>
      <c r="B280" s="9">
        <v>1</v>
      </c>
      <c r="C280" s="8">
        <v>206003</v>
      </c>
      <c r="D280" s="10" t="str">
        <f>"quest_name_"&amp;表1[[#This Row],[任务ID]]</f>
        <v>quest_name_206002</v>
      </c>
      <c r="E280" s="10" t="str">
        <f>VLOOKUP(表1[[#This Row],[任务名称]],[1]!表1_8[#Data],2,FALSE)</f>
        <v>获得炮台皮肤4个</v>
      </c>
      <c r="F280" s="9">
        <v>6</v>
      </c>
      <c r="G280" s="9">
        <v>0</v>
      </c>
      <c r="H280" s="9">
        <v>4</v>
      </c>
      <c r="I280">
        <v>0</v>
      </c>
      <c r="J280" t="s">
        <v>190</v>
      </c>
      <c r="K280" s="2">
        <v>0</v>
      </c>
    </row>
    <row r="281" spans="1:11" x14ac:dyDescent="0.15">
      <c r="A281" s="8">
        <v>206003</v>
      </c>
      <c r="B281" s="9">
        <v>1</v>
      </c>
      <c r="C281" s="8">
        <v>206004</v>
      </c>
      <c r="D281" s="10" t="str">
        <f>"quest_name_"&amp;表1[[#This Row],[任务ID]]</f>
        <v>quest_name_206003</v>
      </c>
      <c r="E281" s="10" t="str">
        <f>VLOOKUP(表1[[#This Row],[任务名称]],[1]!表1_8[#Data],2,FALSE)</f>
        <v>获得炮台皮肤5个</v>
      </c>
      <c r="F281" s="9">
        <v>6</v>
      </c>
      <c r="G281" s="9">
        <v>0</v>
      </c>
      <c r="H281" s="9">
        <v>5</v>
      </c>
      <c r="I281">
        <v>0</v>
      </c>
      <c r="J281" t="s">
        <v>186</v>
      </c>
      <c r="K281" s="2">
        <v>0</v>
      </c>
    </row>
    <row r="282" spans="1:11" x14ac:dyDescent="0.15">
      <c r="A282" s="8">
        <v>206004</v>
      </c>
      <c r="B282" s="9">
        <v>1</v>
      </c>
      <c r="C282" s="8">
        <v>206005</v>
      </c>
      <c r="D282" s="10" t="str">
        <f>"quest_name_"&amp;表1[[#This Row],[任务ID]]</f>
        <v>quest_name_206004</v>
      </c>
      <c r="E282" s="10" t="str">
        <f>VLOOKUP(表1[[#This Row],[任务名称]],[1]!表1_8[#Data],2,FALSE)</f>
        <v>获得炮台皮肤6个</v>
      </c>
      <c r="F282" s="9">
        <v>6</v>
      </c>
      <c r="G282" s="9">
        <v>0</v>
      </c>
      <c r="H282" s="9">
        <v>6</v>
      </c>
      <c r="I282">
        <v>0</v>
      </c>
      <c r="J282" t="s">
        <v>234</v>
      </c>
      <c r="K282" s="2">
        <v>0</v>
      </c>
    </row>
    <row r="283" spans="1:11" x14ac:dyDescent="0.15">
      <c r="A283" s="8">
        <v>206005</v>
      </c>
      <c r="B283" s="9">
        <v>1</v>
      </c>
      <c r="C283" s="8">
        <v>206006</v>
      </c>
      <c r="D283" s="10" t="str">
        <f>"quest_name_"&amp;表1[[#This Row],[任务ID]]</f>
        <v>quest_name_206005</v>
      </c>
      <c r="E283" s="10" t="str">
        <f>VLOOKUP(表1[[#This Row],[任务名称]],[1]!表1_8[#Data],2,FALSE)</f>
        <v>获得炮台皮肤7个</v>
      </c>
      <c r="F283" s="9">
        <v>6</v>
      </c>
      <c r="G283" s="9">
        <v>0</v>
      </c>
      <c r="H283" s="9">
        <v>7</v>
      </c>
      <c r="I283">
        <v>0</v>
      </c>
      <c r="J283" t="s">
        <v>194</v>
      </c>
      <c r="K283" s="2">
        <v>0</v>
      </c>
    </row>
    <row r="284" spans="1:11" x14ac:dyDescent="0.15">
      <c r="A284" s="8">
        <v>206006</v>
      </c>
      <c r="B284" s="9">
        <v>1</v>
      </c>
      <c r="C284" s="8">
        <v>206007</v>
      </c>
      <c r="D284" s="10" t="str">
        <f>"quest_name_"&amp;表1[[#This Row],[任务ID]]</f>
        <v>quest_name_206006</v>
      </c>
      <c r="E284" s="10" t="str">
        <f>VLOOKUP(表1[[#This Row],[任务名称]],[1]!表1_8[#Data],2,FALSE)</f>
        <v>获得炮台皮肤8个</v>
      </c>
      <c r="F284" s="9">
        <v>6</v>
      </c>
      <c r="G284" s="9">
        <v>0</v>
      </c>
      <c r="H284" s="9">
        <v>8</v>
      </c>
      <c r="I284">
        <v>0</v>
      </c>
      <c r="J284" t="s">
        <v>235</v>
      </c>
      <c r="K284" s="2">
        <v>0</v>
      </c>
    </row>
    <row r="285" spans="1:11" x14ac:dyDescent="0.15">
      <c r="A285" s="8">
        <v>206007</v>
      </c>
      <c r="B285" s="9">
        <v>1</v>
      </c>
      <c r="C285" s="8">
        <v>206008</v>
      </c>
      <c r="D285" s="10" t="str">
        <f>"quest_name_"&amp;表1[[#This Row],[任务ID]]</f>
        <v>quest_name_206007</v>
      </c>
      <c r="E285" s="10" t="str">
        <f>VLOOKUP(表1[[#This Row],[任务名称]],[1]!表1_8[#Data],2,FALSE)</f>
        <v>获得炮台皮肤9个</v>
      </c>
      <c r="F285" s="9">
        <v>6</v>
      </c>
      <c r="G285" s="9">
        <v>0</v>
      </c>
      <c r="H285" s="9">
        <v>9</v>
      </c>
      <c r="I285">
        <v>0</v>
      </c>
      <c r="J285" t="s">
        <v>199</v>
      </c>
      <c r="K285" s="2">
        <v>0</v>
      </c>
    </row>
    <row r="286" spans="1:11" x14ac:dyDescent="0.15">
      <c r="A286" s="8">
        <v>206008</v>
      </c>
      <c r="B286" s="9">
        <v>1</v>
      </c>
      <c r="C286" s="8">
        <v>206009</v>
      </c>
      <c r="D286" s="10" t="str">
        <f>"quest_name_"&amp;表1[[#This Row],[任务ID]]</f>
        <v>quest_name_206008</v>
      </c>
      <c r="E286" s="10" t="str">
        <f>VLOOKUP(表1[[#This Row],[任务名称]],[1]!表1_8[#Data],2,FALSE)</f>
        <v>获得炮台皮肤10个</v>
      </c>
      <c r="F286" s="9">
        <v>6</v>
      </c>
      <c r="G286" s="9">
        <v>0</v>
      </c>
      <c r="H286" s="9">
        <v>10</v>
      </c>
      <c r="I286">
        <v>0</v>
      </c>
      <c r="J286" t="s">
        <v>236</v>
      </c>
      <c r="K286" s="2">
        <v>0</v>
      </c>
    </row>
    <row r="287" spans="1:11" x14ac:dyDescent="0.15">
      <c r="A287" s="8">
        <v>206009</v>
      </c>
      <c r="B287" s="9">
        <v>1</v>
      </c>
      <c r="C287" s="8">
        <v>206010</v>
      </c>
      <c r="D287" s="10" t="str">
        <f>"quest_name_"&amp;表1[[#This Row],[任务ID]]</f>
        <v>quest_name_206009</v>
      </c>
      <c r="E287" s="10" t="str">
        <f>VLOOKUP(表1[[#This Row],[任务名称]],[1]!表1_8[#Data],2,FALSE)</f>
        <v>获得炮台皮肤11个</v>
      </c>
      <c r="F287" s="9">
        <v>6</v>
      </c>
      <c r="G287" s="9">
        <v>0</v>
      </c>
      <c r="H287" s="9">
        <v>11</v>
      </c>
      <c r="I287">
        <v>0</v>
      </c>
      <c r="J287" t="s">
        <v>237</v>
      </c>
      <c r="K287" s="2">
        <v>0</v>
      </c>
    </row>
    <row r="288" spans="1:11" x14ac:dyDescent="0.15">
      <c r="A288" s="8">
        <v>206010</v>
      </c>
      <c r="B288" s="9">
        <v>1</v>
      </c>
      <c r="C288" s="8">
        <v>206011</v>
      </c>
      <c r="D288" s="10" t="str">
        <f>"quest_name_"&amp;表1[[#This Row],[任务ID]]</f>
        <v>quest_name_206010</v>
      </c>
      <c r="E288" s="10" t="str">
        <f>VLOOKUP(表1[[#This Row],[任务名称]],[1]!表1_8[#Data],2,FALSE)</f>
        <v>获得炮台皮肤12个</v>
      </c>
      <c r="F288" s="9">
        <v>6</v>
      </c>
      <c r="G288" s="9">
        <v>0</v>
      </c>
      <c r="H288" s="9">
        <v>12</v>
      </c>
      <c r="I288">
        <v>0</v>
      </c>
      <c r="J288" t="s">
        <v>238</v>
      </c>
      <c r="K288" s="2">
        <v>0</v>
      </c>
    </row>
    <row r="289" spans="1:11" x14ac:dyDescent="0.15">
      <c r="A289" s="8">
        <v>206011</v>
      </c>
      <c r="B289" s="9">
        <v>1</v>
      </c>
      <c r="C289" s="8">
        <v>206012</v>
      </c>
      <c r="D289" s="10" t="str">
        <f>"quest_name_"&amp;表1[[#This Row],[任务ID]]</f>
        <v>quest_name_206011</v>
      </c>
      <c r="E289" s="10" t="str">
        <f>VLOOKUP(表1[[#This Row],[任务名称]],[1]!表1_8[#Data],2,FALSE)</f>
        <v>获得炮台皮肤13个</v>
      </c>
      <c r="F289" s="9">
        <v>6</v>
      </c>
      <c r="G289" s="9">
        <v>0</v>
      </c>
      <c r="H289" s="9">
        <v>13</v>
      </c>
      <c r="I289">
        <v>0</v>
      </c>
      <c r="J289" t="s">
        <v>239</v>
      </c>
      <c r="K289" s="2">
        <v>0</v>
      </c>
    </row>
    <row r="290" spans="1:11" x14ac:dyDescent="0.15">
      <c r="A290" s="8">
        <v>206012</v>
      </c>
      <c r="B290" s="9">
        <v>1</v>
      </c>
      <c r="C290" s="8">
        <v>206013</v>
      </c>
      <c r="D290" s="10" t="str">
        <f>"quest_name_"&amp;表1[[#This Row],[任务ID]]</f>
        <v>quest_name_206012</v>
      </c>
      <c r="E290" s="10" t="str">
        <f>VLOOKUP(表1[[#This Row],[任务名称]],[1]!表1_8[#Data],2,FALSE)</f>
        <v>获得炮台皮肤14个</v>
      </c>
      <c r="F290" s="9">
        <v>6</v>
      </c>
      <c r="G290" s="9">
        <v>0</v>
      </c>
      <c r="H290" s="9">
        <v>14</v>
      </c>
      <c r="I290">
        <v>0</v>
      </c>
      <c r="J290" t="s">
        <v>240</v>
      </c>
      <c r="K290" s="2">
        <v>0</v>
      </c>
    </row>
    <row r="291" spans="1:11" x14ac:dyDescent="0.15">
      <c r="A291" s="8">
        <v>206013</v>
      </c>
      <c r="B291" s="9">
        <v>1</v>
      </c>
      <c r="C291" s="8">
        <v>206014</v>
      </c>
      <c r="D291" s="10" t="str">
        <f>"quest_name_"&amp;表1[[#This Row],[任务ID]]</f>
        <v>quest_name_206013</v>
      </c>
      <c r="E291" s="10" t="str">
        <f>VLOOKUP(表1[[#This Row],[任务名称]],[1]!表1_8[#Data],2,FALSE)</f>
        <v>获得炮台皮肤15个</v>
      </c>
      <c r="F291" s="9">
        <v>6</v>
      </c>
      <c r="G291" s="9">
        <v>0</v>
      </c>
      <c r="H291" s="9">
        <v>15</v>
      </c>
      <c r="I291">
        <v>0</v>
      </c>
      <c r="J291" t="s">
        <v>241</v>
      </c>
      <c r="K291" s="2">
        <v>0</v>
      </c>
    </row>
    <row r="292" spans="1:11" x14ac:dyDescent="0.15">
      <c r="A292" s="8">
        <v>206014</v>
      </c>
      <c r="B292" s="9">
        <v>1</v>
      </c>
      <c r="C292" s="8">
        <v>0</v>
      </c>
      <c r="D292" s="10" t="str">
        <f>"quest_name_"&amp;表1[[#This Row],[任务ID]]</f>
        <v>quest_name_206014</v>
      </c>
      <c r="E292" s="10" t="str">
        <f>VLOOKUP(表1[[#This Row],[任务名称]],[1]!表1_8[#Data],2,FALSE)</f>
        <v>获得炮台皮肤16个</v>
      </c>
      <c r="F292" s="9">
        <v>6</v>
      </c>
      <c r="G292" s="9">
        <v>0</v>
      </c>
      <c r="H292" s="9">
        <v>16</v>
      </c>
      <c r="I292">
        <v>0</v>
      </c>
      <c r="J292" t="s">
        <v>242</v>
      </c>
      <c r="K292" s="2">
        <v>0</v>
      </c>
    </row>
    <row r="293" spans="1:11" x14ac:dyDescent="0.15">
      <c r="A293" s="8">
        <v>207000</v>
      </c>
      <c r="B293" s="9">
        <v>1</v>
      </c>
      <c r="C293" s="8">
        <v>207001</v>
      </c>
      <c r="D293" s="10" t="str">
        <f>"quest_name_"&amp;表1[[#This Row],[任务ID]]</f>
        <v>quest_name_207000</v>
      </c>
      <c r="E293" s="10" t="str">
        <f>VLOOKUP(表1[[#This Row],[任务名称]],[1]!表1_8[#Data],2,FALSE)</f>
        <v>单次开炮捕获6条鱼</v>
      </c>
      <c r="F293" s="9">
        <v>7</v>
      </c>
      <c r="G293" s="9">
        <v>0</v>
      </c>
      <c r="H293" s="9">
        <v>6</v>
      </c>
      <c r="I293">
        <v>0</v>
      </c>
      <c r="J293" t="s">
        <v>105</v>
      </c>
      <c r="K293" s="2">
        <v>0</v>
      </c>
    </row>
    <row r="294" spans="1:11" x14ac:dyDescent="0.15">
      <c r="A294" s="8">
        <v>207001</v>
      </c>
      <c r="B294" s="9">
        <v>1</v>
      </c>
      <c r="C294" s="8">
        <v>207002</v>
      </c>
      <c r="D294" s="10" t="str">
        <f>"quest_name_"&amp;表1[[#This Row],[任务ID]]</f>
        <v>quest_name_207001</v>
      </c>
      <c r="E294" s="10" t="str">
        <f>VLOOKUP(表1[[#This Row],[任务名称]],[1]!表1_8[#Data],2,FALSE)</f>
        <v>单次开炮捕获9条鱼</v>
      </c>
      <c r="F294" s="9">
        <v>7</v>
      </c>
      <c r="G294" s="9">
        <v>0</v>
      </c>
      <c r="H294" s="9">
        <v>9</v>
      </c>
      <c r="I294">
        <v>0</v>
      </c>
      <c r="J294" t="s">
        <v>121</v>
      </c>
      <c r="K294" s="2">
        <v>0</v>
      </c>
    </row>
    <row r="295" spans="1:11" x14ac:dyDescent="0.15">
      <c r="A295" s="8">
        <v>207002</v>
      </c>
      <c r="B295" s="9">
        <v>1</v>
      </c>
      <c r="C295" s="8">
        <v>207003</v>
      </c>
      <c r="D295" s="10" t="str">
        <f>"quest_name_"&amp;表1[[#This Row],[任务ID]]</f>
        <v>quest_name_207002</v>
      </c>
      <c r="E295" s="10" t="str">
        <f>VLOOKUP(表1[[#This Row],[任务名称]],[1]!表1_8[#Data],2,FALSE)</f>
        <v>单次开炮捕获12条鱼</v>
      </c>
      <c r="F295" s="9">
        <v>7</v>
      </c>
      <c r="G295" s="9">
        <v>0</v>
      </c>
      <c r="H295" s="9">
        <v>12</v>
      </c>
      <c r="I295">
        <v>0</v>
      </c>
      <c r="J295" t="s">
        <v>122</v>
      </c>
      <c r="K295" s="2">
        <v>0</v>
      </c>
    </row>
    <row r="296" spans="1:11" x14ac:dyDescent="0.15">
      <c r="A296" s="8">
        <v>207003</v>
      </c>
      <c r="B296" s="9">
        <v>1</v>
      </c>
      <c r="C296" s="8">
        <v>207004</v>
      </c>
      <c r="D296" s="10" t="str">
        <f>"quest_name_"&amp;表1[[#This Row],[任务ID]]</f>
        <v>quest_name_207003</v>
      </c>
      <c r="E296" s="10" t="str">
        <f>VLOOKUP(表1[[#This Row],[任务名称]],[1]!表1_8[#Data],2,FALSE)</f>
        <v>单次开炮捕获15条鱼</v>
      </c>
      <c r="F296" s="9">
        <v>7</v>
      </c>
      <c r="G296" s="9">
        <v>0</v>
      </c>
      <c r="H296" s="9">
        <v>15</v>
      </c>
      <c r="I296">
        <v>0</v>
      </c>
      <c r="J296" t="s">
        <v>123</v>
      </c>
      <c r="K296" s="2">
        <v>0</v>
      </c>
    </row>
    <row r="297" spans="1:11" x14ac:dyDescent="0.15">
      <c r="A297" s="8">
        <v>207004</v>
      </c>
      <c r="B297" s="9">
        <v>1</v>
      </c>
      <c r="C297" s="8">
        <v>207005</v>
      </c>
      <c r="D297" s="10" t="str">
        <f>"quest_name_"&amp;表1[[#This Row],[任务ID]]</f>
        <v>quest_name_207004</v>
      </c>
      <c r="E297" s="10" t="str">
        <f>VLOOKUP(表1[[#This Row],[任务名称]],[1]!表1_8[#Data],2,FALSE)</f>
        <v>单次开炮捕获18条鱼</v>
      </c>
      <c r="F297" s="9">
        <v>7</v>
      </c>
      <c r="G297" s="9">
        <v>0</v>
      </c>
      <c r="H297" s="9">
        <v>18</v>
      </c>
      <c r="I297">
        <v>0</v>
      </c>
      <c r="J297" t="s">
        <v>124</v>
      </c>
      <c r="K297" s="2">
        <v>0</v>
      </c>
    </row>
    <row r="298" spans="1:11" x14ac:dyDescent="0.15">
      <c r="A298" s="8">
        <v>207005</v>
      </c>
      <c r="B298" s="9">
        <v>1</v>
      </c>
      <c r="C298" s="8">
        <v>207006</v>
      </c>
      <c r="D298" s="10" t="str">
        <f>"quest_name_"&amp;表1[[#This Row],[任务ID]]</f>
        <v>quest_name_207005</v>
      </c>
      <c r="E298" s="10" t="str">
        <f>VLOOKUP(表1[[#This Row],[任务名称]],[1]!表1_8[#Data],2,FALSE)</f>
        <v>单次开炮捕获20条鱼</v>
      </c>
      <c r="F298" s="9">
        <v>7</v>
      </c>
      <c r="G298" s="9">
        <v>0</v>
      </c>
      <c r="H298" s="9">
        <v>20</v>
      </c>
      <c r="I298">
        <v>0</v>
      </c>
      <c r="J298" t="s">
        <v>125</v>
      </c>
      <c r="K298" s="2">
        <v>0</v>
      </c>
    </row>
    <row r="299" spans="1:11" x14ac:dyDescent="0.15">
      <c r="A299" s="8">
        <v>207006</v>
      </c>
      <c r="B299" s="9">
        <v>1</v>
      </c>
      <c r="C299" s="8">
        <v>207007</v>
      </c>
      <c r="D299" s="10" t="str">
        <f>"quest_name_"&amp;表1[[#This Row],[任务ID]]</f>
        <v>quest_name_207006</v>
      </c>
      <c r="E299" s="10" t="str">
        <f>VLOOKUP(表1[[#This Row],[任务名称]],[1]!表1_8[#Data],2,FALSE)</f>
        <v>单次开炮捕获23条鱼</v>
      </c>
      <c r="F299" s="9">
        <v>7</v>
      </c>
      <c r="G299" s="9">
        <v>0</v>
      </c>
      <c r="H299" s="9">
        <v>23</v>
      </c>
      <c r="I299">
        <v>0</v>
      </c>
      <c r="J299" t="s">
        <v>126</v>
      </c>
      <c r="K299" s="2">
        <v>0</v>
      </c>
    </row>
    <row r="300" spans="1:11" x14ac:dyDescent="0.15">
      <c r="A300" s="8">
        <v>207007</v>
      </c>
      <c r="B300" s="9">
        <v>1</v>
      </c>
      <c r="C300" s="8">
        <v>207008</v>
      </c>
      <c r="D300" s="10" t="str">
        <f>"quest_name_"&amp;表1[[#This Row],[任务ID]]</f>
        <v>quest_name_207007</v>
      </c>
      <c r="E300" s="10" t="str">
        <f>VLOOKUP(表1[[#This Row],[任务名称]],[1]!表1_8[#Data],2,FALSE)</f>
        <v>单次开炮捕获26条鱼</v>
      </c>
      <c r="F300" s="9">
        <v>7</v>
      </c>
      <c r="G300" s="9">
        <v>0</v>
      </c>
      <c r="H300" s="9">
        <v>26</v>
      </c>
      <c r="I300">
        <v>0</v>
      </c>
      <c r="J300" t="s">
        <v>127</v>
      </c>
      <c r="K300" s="2">
        <v>0</v>
      </c>
    </row>
    <row r="301" spans="1:11" x14ac:dyDescent="0.15">
      <c r="A301" s="8">
        <v>207008</v>
      </c>
      <c r="B301" s="9">
        <v>1</v>
      </c>
      <c r="C301" s="8">
        <v>0</v>
      </c>
      <c r="D301" s="10" t="str">
        <f>"quest_name_"&amp;表1[[#This Row],[任务ID]]</f>
        <v>quest_name_207008</v>
      </c>
      <c r="E301" s="10" t="str">
        <f>VLOOKUP(表1[[#This Row],[任务名称]],[1]!表1_8[#Data],2,FALSE)</f>
        <v>单次开炮捕获30条鱼</v>
      </c>
      <c r="F301" s="9">
        <v>7</v>
      </c>
      <c r="G301" s="9">
        <v>0</v>
      </c>
      <c r="H301" s="9">
        <v>30</v>
      </c>
      <c r="I301">
        <v>0</v>
      </c>
      <c r="J301" t="s">
        <v>128</v>
      </c>
      <c r="K301" s="2">
        <v>0</v>
      </c>
    </row>
    <row r="302" spans="1:11" x14ac:dyDescent="0.15">
      <c r="A302" s="8">
        <v>208000</v>
      </c>
      <c r="B302" s="9">
        <v>1</v>
      </c>
      <c r="C302" s="8">
        <v>208001</v>
      </c>
      <c r="D302" s="10" t="str">
        <f>"quest_name_"&amp;表1[[#This Row],[任务ID]]</f>
        <v>quest_name_208000</v>
      </c>
      <c r="E302" s="10" t="str">
        <f>VLOOKUP(表1[[#This Row],[任务名称]],[1]!表1_8[#Data],2,FALSE)</f>
        <v>单次开炮获得金币6000</v>
      </c>
      <c r="F302" s="9">
        <v>8</v>
      </c>
      <c r="G302" s="9">
        <v>0</v>
      </c>
      <c r="H302" s="9">
        <v>6000</v>
      </c>
      <c r="I302">
        <v>0</v>
      </c>
      <c r="J302" t="s">
        <v>227</v>
      </c>
      <c r="K302" s="2">
        <v>0</v>
      </c>
    </row>
    <row r="303" spans="1:11" x14ac:dyDescent="0.15">
      <c r="A303" s="8">
        <v>208001</v>
      </c>
      <c r="B303" s="9">
        <v>1</v>
      </c>
      <c r="C303" s="8">
        <v>208002</v>
      </c>
      <c r="D303" s="10" t="str">
        <f>"quest_name_"&amp;表1[[#This Row],[任务ID]]</f>
        <v>quest_name_208001</v>
      </c>
      <c r="E303" s="10" t="str">
        <f>VLOOKUP(表1[[#This Row],[任务名称]],[1]!表1_8[#Data],2,FALSE)</f>
        <v>单次开炮获得金币10000</v>
      </c>
      <c r="F303" s="9">
        <v>8</v>
      </c>
      <c r="G303" s="9">
        <v>0</v>
      </c>
      <c r="H303" s="9">
        <v>10000</v>
      </c>
      <c r="I303">
        <v>0</v>
      </c>
      <c r="J303" t="s">
        <v>178</v>
      </c>
      <c r="K303" s="2">
        <v>0</v>
      </c>
    </row>
    <row r="304" spans="1:11" x14ac:dyDescent="0.15">
      <c r="A304" s="8">
        <v>208002</v>
      </c>
      <c r="B304" s="9">
        <v>1</v>
      </c>
      <c r="C304" s="8">
        <v>208003</v>
      </c>
      <c r="D304" s="10" t="str">
        <f>"quest_name_"&amp;表1[[#This Row],[任务ID]]</f>
        <v>quest_name_208002</v>
      </c>
      <c r="E304" s="10" t="str">
        <f>VLOOKUP(表1[[#This Row],[任务名称]],[1]!表1_8[#Data],2,FALSE)</f>
        <v>单次开炮获得金币20000</v>
      </c>
      <c r="F304" s="9">
        <v>8</v>
      </c>
      <c r="G304" s="9">
        <v>0</v>
      </c>
      <c r="H304" s="9">
        <v>20000</v>
      </c>
      <c r="I304">
        <v>0</v>
      </c>
      <c r="J304" t="s">
        <v>188</v>
      </c>
      <c r="K304" s="2">
        <v>0</v>
      </c>
    </row>
    <row r="305" spans="1:11" x14ac:dyDescent="0.15">
      <c r="A305" s="8">
        <v>208003</v>
      </c>
      <c r="B305" s="9">
        <v>1</v>
      </c>
      <c r="C305" s="8">
        <v>208004</v>
      </c>
      <c r="D305" s="10" t="str">
        <f>"quest_name_"&amp;表1[[#This Row],[任务ID]]</f>
        <v>quest_name_208003</v>
      </c>
      <c r="E305" s="10" t="str">
        <f>VLOOKUP(表1[[#This Row],[任务名称]],[1]!表1_8[#Data],2,FALSE)</f>
        <v>单次开炮获得金币40000</v>
      </c>
      <c r="F305" s="9">
        <v>8</v>
      </c>
      <c r="G305" s="9">
        <v>0</v>
      </c>
      <c r="H305" s="9">
        <v>40000</v>
      </c>
      <c r="I305">
        <v>0</v>
      </c>
      <c r="J305" t="s">
        <v>179</v>
      </c>
      <c r="K305" s="2">
        <v>0</v>
      </c>
    </row>
    <row r="306" spans="1:11" x14ac:dyDescent="0.15">
      <c r="A306" s="8">
        <v>208004</v>
      </c>
      <c r="B306" s="9">
        <v>1</v>
      </c>
      <c r="C306" s="8">
        <v>208005</v>
      </c>
      <c r="D306" s="10" t="str">
        <f>"quest_name_"&amp;表1[[#This Row],[任务ID]]</f>
        <v>quest_name_208004</v>
      </c>
      <c r="E306" s="10" t="str">
        <f>VLOOKUP(表1[[#This Row],[任务名称]],[1]!表1_8[#Data],2,FALSE)</f>
        <v>单次开炮获得金币60000</v>
      </c>
      <c r="F306" s="9">
        <v>8</v>
      </c>
      <c r="G306" s="9">
        <v>0</v>
      </c>
      <c r="H306" s="9">
        <v>60000</v>
      </c>
      <c r="I306">
        <v>0</v>
      </c>
      <c r="J306" t="s">
        <v>228</v>
      </c>
      <c r="K306" s="2">
        <v>0</v>
      </c>
    </row>
    <row r="307" spans="1:11" x14ac:dyDescent="0.15">
      <c r="A307" s="8">
        <v>208005</v>
      </c>
      <c r="B307" s="9">
        <v>1</v>
      </c>
      <c r="C307" s="8">
        <v>208006</v>
      </c>
      <c r="D307" s="10" t="str">
        <f>"quest_name_"&amp;表1[[#This Row],[任务ID]]</f>
        <v>quest_name_208005</v>
      </c>
      <c r="E307" s="10" t="str">
        <f>VLOOKUP(表1[[#This Row],[任务名称]],[1]!表1_8[#Data],2,FALSE)</f>
        <v>单次开炮获得金币80000</v>
      </c>
      <c r="F307" s="9">
        <v>8</v>
      </c>
      <c r="G307" s="9">
        <v>0</v>
      </c>
      <c r="H307" s="9">
        <v>80000</v>
      </c>
      <c r="I307">
        <v>0</v>
      </c>
      <c r="J307" t="s">
        <v>180</v>
      </c>
      <c r="K307" s="2">
        <v>0</v>
      </c>
    </row>
    <row r="308" spans="1:11" x14ac:dyDescent="0.15">
      <c r="A308" s="8">
        <v>208006</v>
      </c>
      <c r="B308" s="9">
        <v>1</v>
      </c>
      <c r="C308" s="8">
        <v>208007</v>
      </c>
      <c r="D308" s="10" t="str">
        <f>"quest_name_"&amp;表1[[#This Row],[任务ID]]</f>
        <v>quest_name_208006</v>
      </c>
      <c r="E308" s="10" t="str">
        <f>VLOOKUP(表1[[#This Row],[任务名称]],[1]!表1_8[#Data],2,FALSE)</f>
        <v>单次开炮获得金币100000</v>
      </c>
      <c r="F308" s="9">
        <v>8</v>
      </c>
      <c r="G308" s="9">
        <v>0</v>
      </c>
      <c r="H308" s="9">
        <v>100000</v>
      </c>
      <c r="I308">
        <v>0</v>
      </c>
      <c r="J308" t="s">
        <v>229</v>
      </c>
      <c r="K308" s="2">
        <v>0</v>
      </c>
    </row>
    <row r="309" spans="1:11" x14ac:dyDescent="0.15">
      <c r="A309" s="8">
        <v>208007</v>
      </c>
      <c r="B309" s="9">
        <v>1</v>
      </c>
      <c r="C309" s="8">
        <v>208008</v>
      </c>
      <c r="D309" s="10" t="str">
        <f>"quest_name_"&amp;表1[[#This Row],[任务ID]]</f>
        <v>quest_name_208007</v>
      </c>
      <c r="E309" s="10" t="str">
        <f>VLOOKUP(表1[[#This Row],[任务名称]],[1]!表1_8[#Data],2,FALSE)</f>
        <v>单次开炮获得金币200000</v>
      </c>
      <c r="F309" s="9">
        <v>8</v>
      </c>
      <c r="G309" s="9">
        <v>0</v>
      </c>
      <c r="H309" s="9">
        <v>200000</v>
      </c>
      <c r="I309">
        <v>0</v>
      </c>
      <c r="J309" t="s">
        <v>181</v>
      </c>
      <c r="K309" s="2">
        <v>0</v>
      </c>
    </row>
    <row r="310" spans="1:11" x14ac:dyDescent="0.15">
      <c r="A310" s="8">
        <v>208008</v>
      </c>
      <c r="B310" s="9">
        <v>1</v>
      </c>
      <c r="C310" s="8">
        <v>208009</v>
      </c>
      <c r="D310" s="10" t="str">
        <f>"quest_name_"&amp;表1[[#This Row],[任务ID]]</f>
        <v>quest_name_208008</v>
      </c>
      <c r="E310" s="10" t="str">
        <f>VLOOKUP(表1[[#This Row],[任务名称]],[1]!表1_8[#Data],2,FALSE)</f>
        <v>单次开炮获得金币400000</v>
      </c>
      <c r="F310" s="9">
        <v>8</v>
      </c>
      <c r="G310" s="9">
        <v>0</v>
      </c>
      <c r="H310" s="9">
        <v>400000</v>
      </c>
      <c r="I310">
        <v>0</v>
      </c>
      <c r="J310" t="s">
        <v>189</v>
      </c>
      <c r="K310" s="2">
        <v>0</v>
      </c>
    </row>
    <row r="311" spans="1:11" x14ac:dyDescent="0.15">
      <c r="A311" s="8">
        <v>208009</v>
      </c>
      <c r="B311" s="9">
        <v>1</v>
      </c>
      <c r="C311" s="8">
        <v>208010</v>
      </c>
      <c r="D311" s="10" t="str">
        <f>"quest_name_"&amp;表1[[#This Row],[任务ID]]</f>
        <v>quest_name_208009</v>
      </c>
      <c r="E311" s="10" t="str">
        <f>VLOOKUP(表1[[#This Row],[任务名称]],[1]!表1_8[#Data],2,FALSE)</f>
        <v>单次开炮获得金币600000</v>
      </c>
      <c r="F311" s="9">
        <v>8</v>
      </c>
      <c r="G311" s="9">
        <v>0</v>
      </c>
      <c r="H311" s="9">
        <v>600000</v>
      </c>
      <c r="I311">
        <v>0</v>
      </c>
      <c r="J311" t="s">
        <v>47</v>
      </c>
      <c r="K311" s="2">
        <v>0</v>
      </c>
    </row>
    <row r="312" spans="1:11" x14ac:dyDescent="0.15">
      <c r="A312" s="8">
        <v>208010</v>
      </c>
      <c r="B312" s="9">
        <v>1</v>
      </c>
      <c r="C312" s="8">
        <v>208011</v>
      </c>
      <c r="D312" s="10" t="str">
        <f>"quest_name_"&amp;表1[[#This Row],[任务ID]]</f>
        <v>quest_name_208010</v>
      </c>
      <c r="E312" s="10" t="str">
        <f>VLOOKUP(表1[[#This Row],[任务名称]],[1]!表1_8[#Data],2,FALSE)</f>
        <v>单次开炮获得金币800000</v>
      </c>
      <c r="F312" s="9">
        <v>8</v>
      </c>
      <c r="G312" s="9">
        <v>0</v>
      </c>
      <c r="H312" s="9">
        <v>800000</v>
      </c>
      <c r="I312">
        <v>0</v>
      </c>
      <c r="J312" t="s">
        <v>230</v>
      </c>
      <c r="K312" s="2">
        <v>0</v>
      </c>
    </row>
    <row r="313" spans="1:11" x14ac:dyDescent="0.15">
      <c r="A313" s="8">
        <v>208011</v>
      </c>
      <c r="B313" s="9">
        <v>1</v>
      </c>
      <c r="C313" s="8">
        <v>208012</v>
      </c>
      <c r="D313" s="10" t="str">
        <f>"quest_name_"&amp;表1[[#This Row],[任务ID]]</f>
        <v>quest_name_208011</v>
      </c>
      <c r="E313" s="10" t="str">
        <f>VLOOKUP(表1[[#This Row],[任务名称]],[1]!表1_8[#Data],2,FALSE)</f>
        <v>单次开炮获得金币1000000</v>
      </c>
      <c r="F313" s="9">
        <v>8</v>
      </c>
      <c r="G313" s="9">
        <v>0</v>
      </c>
      <c r="H313" s="9">
        <v>1000000</v>
      </c>
      <c r="I313">
        <v>0</v>
      </c>
      <c r="J313" t="s">
        <v>182</v>
      </c>
      <c r="K313" s="2">
        <v>0</v>
      </c>
    </row>
    <row r="314" spans="1:11" x14ac:dyDescent="0.15">
      <c r="A314" s="8">
        <v>208012</v>
      </c>
      <c r="B314" s="9">
        <v>1</v>
      </c>
      <c r="C314" s="8">
        <v>208013</v>
      </c>
      <c r="D314" s="10" t="str">
        <f>"quest_name_"&amp;表1[[#This Row],[任务ID]]</f>
        <v>quest_name_208012</v>
      </c>
      <c r="E314" s="10" t="str">
        <f>VLOOKUP(表1[[#This Row],[任务名称]],[1]!表1_8[#Data],2,FALSE)</f>
        <v>单次开炮获得金币1500000</v>
      </c>
      <c r="F314" s="9">
        <v>8</v>
      </c>
      <c r="G314" s="9">
        <v>0</v>
      </c>
      <c r="H314" s="9">
        <v>1500000</v>
      </c>
      <c r="I314">
        <v>0</v>
      </c>
      <c r="J314" t="s">
        <v>231</v>
      </c>
      <c r="K314" s="2">
        <v>0</v>
      </c>
    </row>
    <row r="315" spans="1:11" x14ac:dyDescent="0.15">
      <c r="A315" s="8">
        <v>208013</v>
      </c>
      <c r="B315" s="9">
        <v>1</v>
      </c>
      <c r="C315" s="8">
        <v>208014</v>
      </c>
      <c r="D315" s="10" t="str">
        <f>"quest_name_"&amp;表1[[#This Row],[任务ID]]</f>
        <v>quest_name_208013</v>
      </c>
      <c r="E315" s="10" t="str">
        <f>VLOOKUP(表1[[#This Row],[任务名称]],[1]!表1_8[#Data],2,FALSE)</f>
        <v>单次开炮获得金币3000000</v>
      </c>
      <c r="F315" s="9">
        <v>8</v>
      </c>
      <c r="G315" s="9">
        <v>0</v>
      </c>
      <c r="H315" s="9">
        <v>3000000</v>
      </c>
      <c r="I315">
        <v>0</v>
      </c>
      <c r="J315" t="s">
        <v>183</v>
      </c>
      <c r="K315" s="2">
        <v>0</v>
      </c>
    </row>
    <row r="316" spans="1:11" x14ac:dyDescent="0.15">
      <c r="A316" s="8">
        <v>208014</v>
      </c>
      <c r="B316" s="9">
        <v>1</v>
      </c>
      <c r="C316" s="8">
        <v>208015</v>
      </c>
      <c r="D316" s="10" t="str">
        <f>"quest_name_"&amp;表1[[#This Row],[任务ID]]</f>
        <v>quest_name_208014</v>
      </c>
      <c r="E316" s="10" t="str">
        <f>VLOOKUP(表1[[#This Row],[任务名称]],[1]!表1_8[#Data],2,FALSE)</f>
        <v>单次开炮获得金币6000000</v>
      </c>
      <c r="F316" s="9">
        <v>8</v>
      </c>
      <c r="G316" s="9">
        <v>0</v>
      </c>
      <c r="H316" s="9">
        <v>6000000</v>
      </c>
      <c r="I316">
        <v>0</v>
      </c>
      <c r="J316" t="s">
        <v>190</v>
      </c>
      <c r="K316" s="2">
        <v>0</v>
      </c>
    </row>
    <row r="317" spans="1:11" x14ac:dyDescent="0.15">
      <c r="A317" s="8">
        <v>208015</v>
      </c>
      <c r="B317" s="9">
        <v>1</v>
      </c>
      <c r="C317" s="8">
        <v>0</v>
      </c>
      <c r="D317" s="10" t="str">
        <f>"quest_name_"&amp;表1[[#This Row],[任务ID]]</f>
        <v>quest_name_208015</v>
      </c>
      <c r="E317" s="10" t="str">
        <f>VLOOKUP(表1[[#This Row],[任务名称]],[1]!表1_8[#Data],2,FALSE)</f>
        <v>单次开炮获得金币10000000</v>
      </c>
      <c r="F317" s="9">
        <v>8</v>
      </c>
      <c r="G317" s="9">
        <v>0</v>
      </c>
      <c r="H317" s="9">
        <v>10000000</v>
      </c>
      <c r="I317">
        <v>0</v>
      </c>
      <c r="J317" t="s">
        <v>184</v>
      </c>
      <c r="K317" s="2">
        <v>0</v>
      </c>
    </row>
    <row r="318" spans="1:11" x14ac:dyDescent="0.15">
      <c r="A318" s="8">
        <v>209000</v>
      </c>
      <c r="B318" s="9">
        <v>1</v>
      </c>
      <c r="C318" s="8">
        <v>209001</v>
      </c>
      <c r="D318" s="10" t="str">
        <f>"quest_name_"&amp;表1[[#This Row],[任务ID]]</f>
        <v>quest_name_209000</v>
      </c>
      <c r="E318" s="10" t="str">
        <f>VLOOKUP(表1[[#This Row],[任务名称]],[1]!表1_8[#Data],2,FALSE)</f>
        <v>累计获得金币100000</v>
      </c>
      <c r="F318" s="9">
        <v>9</v>
      </c>
      <c r="G318" s="9">
        <v>0</v>
      </c>
      <c r="H318" s="9">
        <v>100000</v>
      </c>
      <c r="I318">
        <v>0</v>
      </c>
      <c r="J318" t="s">
        <v>227</v>
      </c>
      <c r="K318" s="2">
        <v>0</v>
      </c>
    </row>
    <row r="319" spans="1:11" x14ac:dyDescent="0.15">
      <c r="A319" s="8">
        <v>209001</v>
      </c>
      <c r="B319" s="9">
        <v>1</v>
      </c>
      <c r="C319" s="8">
        <v>209002</v>
      </c>
      <c r="D319" s="10" t="str">
        <f>"quest_name_"&amp;表1[[#This Row],[任务ID]]</f>
        <v>quest_name_209001</v>
      </c>
      <c r="E319" s="10" t="str">
        <f>VLOOKUP(表1[[#This Row],[任务名称]],[1]!表1_8[#Data],2,FALSE)</f>
        <v>累计获得金币200000</v>
      </c>
      <c r="F319" s="9">
        <v>9</v>
      </c>
      <c r="G319" s="9">
        <v>0</v>
      </c>
      <c r="H319" s="9">
        <v>200000</v>
      </c>
      <c r="I319">
        <v>0</v>
      </c>
      <c r="J319" t="s">
        <v>178</v>
      </c>
      <c r="K319" s="2">
        <v>0</v>
      </c>
    </row>
    <row r="320" spans="1:11" x14ac:dyDescent="0.15">
      <c r="A320" s="8">
        <v>209002</v>
      </c>
      <c r="B320" s="9">
        <v>1</v>
      </c>
      <c r="C320" s="8">
        <v>209003</v>
      </c>
      <c r="D320" s="10" t="str">
        <f>"quest_name_"&amp;表1[[#This Row],[任务ID]]</f>
        <v>quest_name_209002</v>
      </c>
      <c r="E320" s="10" t="str">
        <f>VLOOKUP(表1[[#This Row],[任务名称]],[1]!表1_8[#Data],2,FALSE)</f>
        <v>累计获得金币600000</v>
      </c>
      <c r="F320" s="9">
        <v>9</v>
      </c>
      <c r="G320" s="9">
        <v>0</v>
      </c>
      <c r="H320" s="9">
        <v>600000</v>
      </c>
      <c r="I320">
        <v>0</v>
      </c>
      <c r="J320" t="s">
        <v>188</v>
      </c>
      <c r="K320" s="2">
        <v>0</v>
      </c>
    </row>
    <row r="321" spans="1:11" x14ac:dyDescent="0.15">
      <c r="A321" s="8">
        <v>209003</v>
      </c>
      <c r="B321" s="9">
        <v>1</v>
      </c>
      <c r="C321" s="8">
        <v>209004</v>
      </c>
      <c r="D321" s="10" t="str">
        <f>"quest_name_"&amp;表1[[#This Row],[任务ID]]</f>
        <v>quest_name_209003</v>
      </c>
      <c r="E321" s="10" t="str">
        <f>VLOOKUP(表1[[#This Row],[任务名称]],[1]!表1_8[#Data],2,FALSE)</f>
        <v>累计获得金币1000000</v>
      </c>
      <c r="F321" s="9">
        <v>9</v>
      </c>
      <c r="G321" s="9">
        <v>0</v>
      </c>
      <c r="H321" s="9">
        <v>1000000</v>
      </c>
      <c r="I321">
        <v>0</v>
      </c>
      <c r="J321" t="s">
        <v>179</v>
      </c>
      <c r="K321" s="2">
        <v>0</v>
      </c>
    </row>
    <row r="322" spans="1:11" x14ac:dyDescent="0.15">
      <c r="A322" s="8">
        <v>209004</v>
      </c>
      <c r="B322" s="9">
        <v>1</v>
      </c>
      <c r="C322" s="8">
        <v>209005</v>
      </c>
      <c r="D322" s="10" t="str">
        <f>"quest_name_"&amp;表1[[#This Row],[任务ID]]</f>
        <v>quest_name_209004</v>
      </c>
      <c r="E322" s="10" t="str">
        <f>VLOOKUP(表1[[#This Row],[任务名称]],[1]!表1_8[#Data],2,FALSE)</f>
        <v>累计获得金币2000000</v>
      </c>
      <c r="F322" s="9">
        <v>9</v>
      </c>
      <c r="G322" s="9">
        <v>0</v>
      </c>
      <c r="H322" s="9">
        <v>2000000</v>
      </c>
      <c r="I322">
        <v>0</v>
      </c>
      <c r="J322" t="s">
        <v>228</v>
      </c>
      <c r="K322" s="2">
        <v>0</v>
      </c>
    </row>
    <row r="323" spans="1:11" x14ac:dyDescent="0.15">
      <c r="A323" s="8">
        <v>209005</v>
      </c>
      <c r="B323" s="9">
        <v>1</v>
      </c>
      <c r="C323" s="8">
        <v>209006</v>
      </c>
      <c r="D323" s="10" t="str">
        <f>"quest_name_"&amp;表1[[#This Row],[任务ID]]</f>
        <v>quest_name_209005</v>
      </c>
      <c r="E323" s="10" t="str">
        <f>VLOOKUP(表1[[#This Row],[任务名称]],[1]!表1_8[#Data],2,FALSE)</f>
        <v>累计获得金币6000000</v>
      </c>
      <c r="F323" s="9">
        <v>9</v>
      </c>
      <c r="G323" s="9">
        <v>0</v>
      </c>
      <c r="H323" s="9">
        <v>6000000</v>
      </c>
      <c r="I323">
        <v>0</v>
      </c>
      <c r="J323" t="s">
        <v>180</v>
      </c>
      <c r="K323" s="2">
        <v>0</v>
      </c>
    </row>
    <row r="324" spans="1:11" x14ac:dyDescent="0.15">
      <c r="A324" s="8">
        <v>209006</v>
      </c>
      <c r="B324" s="9">
        <v>1</v>
      </c>
      <c r="C324" s="8">
        <v>209007</v>
      </c>
      <c r="D324" s="10" t="str">
        <f>"quest_name_"&amp;表1[[#This Row],[任务ID]]</f>
        <v>quest_name_209006</v>
      </c>
      <c r="E324" s="10" t="str">
        <f>VLOOKUP(表1[[#This Row],[任务名称]],[1]!表1_8[#Data],2,FALSE)</f>
        <v>累计获得金币10000000</v>
      </c>
      <c r="F324" s="9">
        <v>9</v>
      </c>
      <c r="G324" s="9">
        <v>0</v>
      </c>
      <c r="H324" s="9">
        <v>10000000</v>
      </c>
      <c r="I324">
        <v>0</v>
      </c>
      <c r="J324" t="s">
        <v>229</v>
      </c>
      <c r="K324" s="2">
        <v>0</v>
      </c>
    </row>
    <row r="325" spans="1:11" x14ac:dyDescent="0.15">
      <c r="A325" s="8">
        <v>209007</v>
      </c>
      <c r="B325" s="9">
        <v>1</v>
      </c>
      <c r="C325" s="8">
        <v>209008</v>
      </c>
      <c r="D325" s="10" t="str">
        <f>"quest_name_"&amp;表1[[#This Row],[任务ID]]</f>
        <v>quest_name_209007</v>
      </c>
      <c r="E325" s="10" t="str">
        <f>VLOOKUP(表1[[#This Row],[任务名称]],[1]!表1_8[#Data],2,FALSE)</f>
        <v>累计获得金币20000000</v>
      </c>
      <c r="F325" s="9">
        <v>9</v>
      </c>
      <c r="G325" s="9">
        <v>0</v>
      </c>
      <c r="H325" s="9">
        <v>20000000</v>
      </c>
      <c r="I325">
        <v>0</v>
      </c>
      <c r="J325" t="s">
        <v>181</v>
      </c>
      <c r="K325" s="2">
        <v>0</v>
      </c>
    </row>
    <row r="326" spans="1:11" x14ac:dyDescent="0.15">
      <c r="A326" s="8">
        <v>209008</v>
      </c>
      <c r="B326" s="9">
        <v>1</v>
      </c>
      <c r="C326" s="8">
        <v>209009</v>
      </c>
      <c r="D326" s="10" t="str">
        <f>"quest_name_"&amp;表1[[#This Row],[任务ID]]</f>
        <v>quest_name_209008</v>
      </c>
      <c r="E326" s="10" t="str">
        <f>VLOOKUP(表1[[#This Row],[任务名称]],[1]!表1_8[#Data],2,FALSE)</f>
        <v>累计获得金币60000000</v>
      </c>
      <c r="F326" s="9">
        <v>9</v>
      </c>
      <c r="G326" s="9">
        <v>0</v>
      </c>
      <c r="H326" s="9">
        <v>60000000</v>
      </c>
      <c r="I326">
        <v>0</v>
      </c>
      <c r="J326" t="s">
        <v>189</v>
      </c>
      <c r="K326" s="2">
        <v>0</v>
      </c>
    </row>
    <row r="327" spans="1:11" x14ac:dyDescent="0.15">
      <c r="A327" s="8">
        <v>209009</v>
      </c>
      <c r="B327" s="9">
        <v>1</v>
      </c>
      <c r="C327" s="8">
        <v>209010</v>
      </c>
      <c r="D327" s="10" t="str">
        <f>"quest_name_"&amp;表1[[#This Row],[任务ID]]</f>
        <v>quest_name_209009</v>
      </c>
      <c r="E327" s="10" t="str">
        <f>VLOOKUP(表1[[#This Row],[任务名称]],[1]!表1_8[#Data],2,FALSE)</f>
        <v>累计获得金币100000000</v>
      </c>
      <c r="F327" s="9">
        <v>9</v>
      </c>
      <c r="G327" s="9">
        <v>0</v>
      </c>
      <c r="H327" s="9">
        <v>100000000</v>
      </c>
      <c r="I327">
        <v>0</v>
      </c>
      <c r="J327" t="s">
        <v>47</v>
      </c>
      <c r="K327" s="2">
        <v>0</v>
      </c>
    </row>
    <row r="328" spans="1:11" x14ac:dyDescent="0.15">
      <c r="A328" s="8">
        <v>209010</v>
      </c>
      <c r="B328" s="9">
        <v>1</v>
      </c>
      <c r="C328" s="8">
        <v>209011</v>
      </c>
      <c r="D328" s="10" t="str">
        <f>"quest_name_"&amp;表1[[#This Row],[任务ID]]</f>
        <v>quest_name_209010</v>
      </c>
      <c r="E328" s="10" t="str">
        <f>VLOOKUP(表1[[#This Row],[任务名称]],[1]!表1_8[#Data],2,FALSE)</f>
        <v>累计获得金币200000000</v>
      </c>
      <c r="F328" s="9">
        <v>9</v>
      </c>
      <c r="G328" s="9">
        <v>0</v>
      </c>
      <c r="H328" s="9">
        <v>200000000</v>
      </c>
      <c r="I328">
        <v>0</v>
      </c>
      <c r="J328" t="s">
        <v>230</v>
      </c>
      <c r="K328" s="2">
        <v>0</v>
      </c>
    </row>
    <row r="329" spans="1:11" x14ac:dyDescent="0.15">
      <c r="A329" s="8">
        <v>209011</v>
      </c>
      <c r="B329" s="9">
        <v>1</v>
      </c>
      <c r="C329" s="8">
        <v>209012</v>
      </c>
      <c r="D329" s="10" t="str">
        <f>"quest_name_"&amp;表1[[#This Row],[任务ID]]</f>
        <v>quest_name_209011</v>
      </c>
      <c r="E329" s="10" t="str">
        <f>VLOOKUP(表1[[#This Row],[任务名称]],[1]!表1_8[#Data],2,FALSE)</f>
        <v>累计获得金币600000000</v>
      </c>
      <c r="F329" s="9">
        <v>9</v>
      </c>
      <c r="G329" s="9">
        <v>0</v>
      </c>
      <c r="H329" s="9">
        <v>600000000</v>
      </c>
      <c r="I329">
        <v>0</v>
      </c>
      <c r="J329" t="s">
        <v>182</v>
      </c>
      <c r="K329" s="2">
        <v>0</v>
      </c>
    </row>
    <row r="330" spans="1:11" x14ac:dyDescent="0.15">
      <c r="A330" s="8">
        <v>209012</v>
      </c>
      <c r="B330" s="9">
        <v>1</v>
      </c>
      <c r="C330" s="8">
        <v>209013</v>
      </c>
      <c r="D330" s="10" t="str">
        <f>"quest_name_"&amp;表1[[#This Row],[任务ID]]</f>
        <v>quest_name_209012</v>
      </c>
      <c r="E330" s="10" t="str">
        <f>VLOOKUP(表1[[#This Row],[任务名称]],[1]!表1_8[#Data],2,FALSE)</f>
        <v>累计获得金币1000000000</v>
      </c>
      <c r="F330" s="9">
        <v>9</v>
      </c>
      <c r="G330" s="9">
        <v>0</v>
      </c>
      <c r="H330" s="9">
        <v>1000000000</v>
      </c>
      <c r="I330">
        <v>0</v>
      </c>
      <c r="J330" t="s">
        <v>231</v>
      </c>
      <c r="K330" s="2">
        <v>0</v>
      </c>
    </row>
    <row r="331" spans="1:11" x14ac:dyDescent="0.15">
      <c r="A331" s="8">
        <v>209013</v>
      </c>
      <c r="B331" s="9">
        <v>1</v>
      </c>
      <c r="C331" s="8">
        <v>209014</v>
      </c>
      <c r="D331" s="10" t="str">
        <f>"quest_name_"&amp;表1[[#This Row],[任务ID]]</f>
        <v>quest_name_209013</v>
      </c>
      <c r="E331" s="10" t="str">
        <f>VLOOKUP(表1[[#This Row],[任务名称]],[1]!表1_8[#Data],2,FALSE)</f>
        <v>累计获得金币2000000000</v>
      </c>
      <c r="F331" s="9">
        <v>9</v>
      </c>
      <c r="G331" s="9">
        <v>0</v>
      </c>
      <c r="H331" s="9">
        <v>2000000000</v>
      </c>
      <c r="I331">
        <v>0</v>
      </c>
      <c r="J331" t="s">
        <v>183</v>
      </c>
      <c r="K331" s="2">
        <v>0</v>
      </c>
    </row>
    <row r="332" spans="1:11" x14ac:dyDescent="0.15">
      <c r="A332" s="8">
        <v>209014</v>
      </c>
      <c r="B332" s="9">
        <v>1</v>
      </c>
      <c r="C332" s="8">
        <v>209015</v>
      </c>
      <c r="D332" s="10" t="str">
        <f>"quest_name_"&amp;表1[[#This Row],[任务ID]]</f>
        <v>quest_name_209014</v>
      </c>
      <c r="E332" s="10" t="str">
        <f>VLOOKUP(表1[[#This Row],[任务名称]],[1]!表1_8[#Data],2,FALSE)</f>
        <v>累计获得金币4000000000</v>
      </c>
      <c r="F332" s="9">
        <v>9</v>
      </c>
      <c r="G332" s="9">
        <v>0</v>
      </c>
      <c r="H332" s="9">
        <v>4000000000</v>
      </c>
      <c r="I332">
        <v>0</v>
      </c>
      <c r="J332" t="s">
        <v>190</v>
      </c>
      <c r="K332" s="2">
        <v>0</v>
      </c>
    </row>
    <row r="333" spans="1:11" x14ac:dyDescent="0.15">
      <c r="A333" s="8">
        <v>209015</v>
      </c>
      <c r="B333" s="9">
        <v>1</v>
      </c>
      <c r="C333" s="8">
        <v>209016</v>
      </c>
      <c r="D333" s="10" t="str">
        <f>"quest_name_"&amp;表1[[#This Row],[任务ID]]</f>
        <v>quest_name_209015</v>
      </c>
      <c r="E333" s="10" t="str">
        <f>VLOOKUP(表1[[#This Row],[任务名称]],[1]!表1_8[#Data],2,FALSE)</f>
        <v>累计获得金币6000000000</v>
      </c>
      <c r="F333" s="9">
        <v>9</v>
      </c>
      <c r="G333" s="9">
        <v>0</v>
      </c>
      <c r="H333" s="9">
        <v>6000000000</v>
      </c>
      <c r="I333">
        <v>0</v>
      </c>
      <c r="J333" t="s">
        <v>184</v>
      </c>
      <c r="K333" s="2">
        <v>0</v>
      </c>
    </row>
    <row r="334" spans="1:11" x14ac:dyDescent="0.15">
      <c r="A334" s="8">
        <v>209016</v>
      </c>
      <c r="B334" s="9">
        <v>1</v>
      </c>
      <c r="C334" s="8">
        <v>0</v>
      </c>
      <c r="D334" s="10" t="str">
        <f>"quest_name_"&amp;表1[[#This Row],[任务ID]]</f>
        <v>quest_name_209016</v>
      </c>
      <c r="E334" s="10" t="str">
        <f>VLOOKUP(表1[[#This Row],[任务名称]],[1]!表1_8[#Data],2,FALSE)</f>
        <v>累计获得金币10000000000</v>
      </c>
      <c r="F334" s="9">
        <v>9</v>
      </c>
      <c r="G334" s="9">
        <v>0</v>
      </c>
      <c r="H334" s="9">
        <v>10000000000</v>
      </c>
      <c r="I334">
        <v>0</v>
      </c>
      <c r="J334" t="s">
        <v>232</v>
      </c>
      <c r="K334" s="2">
        <v>0</v>
      </c>
    </row>
    <row r="335" spans="1:11" x14ac:dyDescent="0.15">
      <c r="A335" s="8">
        <v>210000</v>
      </c>
      <c r="B335" s="9">
        <v>1</v>
      </c>
      <c r="C335" s="8">
        <v>210001</v>
      </c>
      <c r="D335" s="10" t="str">
        <f>"quest_name_"&amp;表1[[#This Row],[任务ID]]</f>
        <v>quest_name_210000</v>
      </c>
      <c r="E335" s="10" t="str">
        <f>VLOOKUP(表1[[#This Row],[任务名称]],[1]!表1_8[#Data],2,FALSE)</f>
        <v>累计消耗钻石100</v>
      </c>
      <c r="F335" s="9">
        <v>10</v>
      </c>
      <c r="G335" s="9">
        <v>0</v>
      </c>
      <c r="H335" s="9">
        <v>100</v>
      </c>
      <c r="I335">
        <v>0</v>
      </c>
      <c r="J335" t="s">
        <v>276</v>
      </c>
      <c r="K335" s="2">
        <v>0</v>
      </c>
    </row>
    <row r="336" spans="1:11" x14ac:dyDescent="0.15">
      <c r="A336" s="8">
        <v>210001</v>
      </c>
      <c r="B336" s="9">
        <v>1</v>
      </c>
      <c r="C336" s="8">
        <v>210002</v>
      </c>
      <c r="D336" s="10" t="str">
        <f>"quest_name_"&amp;表1[[#This Row],[任务ID]]</f>
        <v>quest_name_210001</v>
      </c>
      <c r="E336" s="10" t="str">
        <f>VLOOKUP(表1[[#This Row],[任务名称]],[1]!表1_8[#Data],2,FALSE)</f>
        <v>累计消耗钻石500</v>
      </c>
      <c r="F336" s="9">
        <v>10</v>
      </c>
      <c r="G336" s="9">
        <v>0</v>
      </c>
      <c r="H336" s="9">
        <v>500</v>
      </c>
      <c r="I336">
        <v>0</v>
      </c>
      <c r="J336" t="s">
        <v>277</v>
      </c>
      <c r="K336" s="2">
        <v>0</v>
      </c>
    </row>
    <row r="337" spans="1:11" x14ac:dyDescent="0.15">
      <c r="A337" s="8">
        <v>210002</v>
      </c>
      <c r="B337" s="9">
        <v>1</v>
      </c>
      <c r="C337" s="8">
        <v>210003</v>
      </c>
      <c r="D337" s="10" t="str">
        <f>"quest_name_"&amp;表1[[#This Row],[任务ID]]</f>
        <v>quest_name_210002</v>
      </c>
      <c r="E337" s="10" t="str">
        <f>VLOOKUP(表1[[#This Row],[任务名称]],[1]!表1_8[#Data],2,FALSE)</f>
        <v>累计消耗钻石2000</v>
      </c>
      <c r="F337" s="9">
        <v>10</v>
      </c>
      <c r="G337" s="9">
        <v>0</v>
      </c>
      <c r="H337" s="9">
        <v>2000</v>
      </c>
      <c r="I337">
        <v>0</v>
      </c>
      <c r="J337" t="s">
        <v>278</v>
      </c>
      <c r="K337" s="2">
        <v>0</v>
      </c>
    </row>
    <row r="338" spans="1:11" x14ac:dyDescent="0.15">
      <c r="A338" s="8">
        <v>210003</v>
      </c>
      <c r="B338" s="9">
        <v>1</v>
      </c>
      <c r="C338" s="8">
        <v>210004</v>
      </c>
      <c r="D338" s="10" t="str">
        <f>"quest_name_"&amp;表1[[#This Row],[任务ID]]</f>
        <v>quest_name_210003</v>
      </c>
      <c r="E338" s="10" t="str">
        <f>VLOOKUP(表1[[#This Row],[任务名称]],[1]!表1_8[#Data],2,FALSE)</f>
        <v>累计消耗钻石5000</v>
      </c>
      <c r="F338" s="9">
        <v>10</v>
      </c>
      <c r="G338" s="9">
        <v>0</v>
      </c>
      <c r="H338" s="9">
        <v>5000</v>
      </c>
      <c r="I338">
        <v>0</v>
      </c>
      <c r="J338" t="s">
        <v>279</v>
      </c>
      <c r="K338" s="2">
        <v>0</v>
      </c>
    </row>
    <row r="339" spans="1:11" x14ac:dyDescent="0.15">
      <c r="A339" s="8">
        <v>210004</v>
      </c>
      <c r="B339" s="9">
        <v>1</v>
      </c>
      <c r="C339" s="8">
        <v>210005</v>
      </c>
      <c r="D339" s="10" t="str">
        <f>"quest_name_"&amp;表1[[#This Row],[任务ID]]</f>
        <v>quest_name_210004</v>
      </c>
      <c r="E339" s="10" t="str">
        <f>VLOOKUP(表1[[#This Row],[任务名称]],[1]!表1_8[#Data],2,FALSE)</f>
        <v>累计消耗钻石10000</v>
      </c>
      <c r="F339" s="9">
        <v>10</v>
      </c>
      <c r="G339" s="9">
        <v>0</v>
      </c>
      <c r="H339" s="9">
        <v>10000</v>
      </c>
      <c r="I339">
        <v>0</v>
      </c>
      <c r="J339" t="s">
        <v>280</v>
      </c>
      <c r="K339" s="2">
        <v>0</v>
      </c>
    </row>
    <row r="340" spans="1:11" x14ac:dyDescent="0.15">
      <c r="A340" s="8">
        <v>210005</v>
      </c>
      <c r="B340" s="9">
        <v>1</v>
      </c>
      <c r="C340" s="8">
        <v>210006</v>
      </c>
      <c r="D340" s="10" t="str">
        <f>"quest_name_"&amp;表1[[#This Row],[任务ID]]</f>
        <v>quest_name_210005</v>
      </c>
      <c r="E340" s="10" t="str">
        <f>VLOOKUP(表1[[#This Row],[任务名称]],[1]!表1_8[#Data],2,FALSE)</f>
        <v>累计消耗钻石20000</v>
      </c>
      <c r="F340" s="9">
        <v>10</v>
      </c>
      <c r="G340" s="9">
        <v>0</v>
      </c>
      <c r="H340" s="9">
        <v>20000</v>
      </c>
      <c r="I340">
        <v>0</v>
      </c>
      <c r="J340" t="s">
        <v>281</v>
      </c>
      <c r="K340" s="2">
        <v>0</v>
      </c>
    </row>
    <row r="341" spans="1:11" x14ac:dyDescent="0.15">
      <c r="A341" s="8">
        <v>210006</v>
      </c>
      <c r="B341" s="9">
        <v>1</v>
      </c>
      <c r="C341" s="8">
        <v>210007</v>
      </c>
      <c r="D341" s="10" t="str">
        <f>"quest_name_"&amp;表1[[#This Row],[任务ID]]</f>
        <v>quest_name_210006</v>
      </c>
      <c r="E341" s="10" t="str">
        <f>VLOOKUP(表1[[#This Row],[任务名称]],[1]!表1_8[#Data],2,FALSE)</f>
        <v>累计消耗钻石50000</v>
      </c>
      <c r="F341" s="9">
        <v>10</v>
      </c>
      <c r="G341" s="9">
        <v>0</v>
      </c>
      <c r="H341" s="9">
        <v>50000</v>
      </c>
      <c r="I341">
        <v>0</v>
      </c>
      <c r="J341" t="s">
        <v>282</v>
      </c>
      <c r="K341" s="2">
        <v>0</v>
      </c>
    </row>
    <row r="342" spans="1:11" x14ac:dyDescent="0.15">
      <c r="A342" s="8">
        <v>210007</v>
      </c>
      <c r="B342" s="9">
        <v>1</v>
      </c>
      <c r="C342" s="8">
        <v>210008</v>
      </c>
      <c r="D342" s="10" t="str">
        <f>"quest_name_"&amp;表1[[#This Row],[任务ID]]</f>
        <v>quest_name_210007</v>
      </c>
      <c r="E342" s="10" t="str">
        <f>VLOOKUP(表1[[#This Row],[任务名称]],[1]!表1_8[#Data],2,FALSE)</f>
        <v>累计消耗钻石100000</v>
      </c>
      <c r="F342" s="9">
        <v>10</v>
      </c>
      <c r="G342" s="9">
        <v>0</v>
      </c>
      <c r="H342" s="9">
        <v>100000</v>
      </c>
      <c r="I342">
        <v>0</v>
      </c>
      <c r="J342" t="s">
        <v>283</v>
      </c>
      <c r="K342" s="2">
        <v>0</v>
      </c>
    </row>
    <row r="343" spans="1:11" x14ac:dyDescent="0.15">
      <c r="A343" s="8">
        <v>210008</v>
      </c>
      <c r="B343" s="9">
        <v>1</v>
      </c>
      <c r="C343" s="8">
        <v>210009</v>
      </c>
      <c r="D343" s="10" t="str">
        <f>"quest_name_"&amp;表1[[#This Row],[任务ID]]</f>
        <v>quest_name_210008</v>
      </c>
      <c r="E343" s="10" t="str">
        <f>VLOOKUP(表1[[#This Row],[任务名称]],[1]!表1_8[#Data],2,FALSE)</f>
        <v>累计消耗钻石500000</v>
      </c>
      <c r="F343" s="9">
        <v>10</v>
      </c>
      <c r="G343" s="9">
        <v>0</v>
      </c>
      <c r="H343" s="9">
        <v>500000</v>
      </c>
      <c r="I343">
        <v>0</v>
      </c>
      <c r="J343" t="s">
        <v>284</v>
      </c>
      <c r="K343" s="2">
        <v>0</v>
      </c>
    </row>
    <row r="344" spans="1:11" x14ac:dyDescent="0.15">
      <c r="A344" s="8">
        <v>210009</v>
      </c>
      <c r="B344" s="9">
        <v>1</v>
      </c>
      <c r="C344" s="8">
        <v>210010</v>
      </c>
      <c r="D344" s="10" t="str">
        <f>"quest_name_"&amp;表1[[#This Row],[任务ID]]</f>
        <v>quest_name_210009</v>
      </c>
      <c r="E344" s="10" t="str">
        <f>VLOOKUP(表1[[#This Row],[任务名称]],[1]!表1_8[#Data],2,FALSE)</f>
        <v>累计消耗钻石1000000</v>
      </c>
      <c r="F344" s="9">
        <v>10</v>
      </c>
      <c r="G344" s="9">
        <v>0</v>
      </c>
      <c r="H344" s="9">
        <v>1000000</v>
      </c>
      <c r="I344">
        <v>0</v>
      </c>
      <c r="J344" t="s">
        <v>285</v>
      </c>
      <c r="K344" s="2">
        <v>0</v>
      </c>
    </row>
    <row r="345" spans="1:11" x14ac:dyDescent="0.15">
      <c r="A345" s="8">
        <v>210010</v>
      </c>
      <c r="B345" s="9">
        <v>1</v>
      </c>
      <c r="C345" s="8">
        <v>0</v>
      </c>
      <c r="D345" s="10" t="str">
        <f>"quest_name_"&amp;表1[[#This Row],[任务ID]]</f>
        <v>quest_name_210010</v>
      </c>
      <c r="E345" s="10" t="str">
        <f>VLOOKUP(表1[[#This Row],[任务名称]],[1]!表1_8[#Data],2,FALSE)</f>
        <v>累计消耗钻石5000000</v>
      </c>
      <c r="F345" s="9">
        <v>10</v>
      </c>
      <c r="G345" s="9">
        <v>0</v>
      </c>
      <c r="H345" s="9">
        <v>5000000</v>
      </c>
      <c r="I345">
        <v>0</v>
      </c>
      <c r="J345" t="s">
        <v>290</v>
      </c>
      <c r="K345" s="2">
        <v>0</v>
      </c>
    </row>
    <row r="346" spans="1:11" x14ac:dyDescent="0.15">
      <c r="A346" s="8">
        <v>213000</v>
      </c>
      <c r="B346" s="9">
        <v>1</v>
      </c>
      <c r="C346" s="8">
        <v>213001</v>
      </c>
      <c r="D346" s="10" t="str">
        <f>"quest_name_"&amp;表1[[#This Row],[任务ID]]</f>
        <v>quest_name_213000</v>
      </c>
      <c r="E346" s="10" t="str">
        <f>VLOOKUP(表1[[#This Row],[任务名称]],[1]!表1_8[#Data],2,FALSE)</f>
        <v>累计登录2天</v>
      </c>
      <c r="F346" s="9">
        <v>13</v>
      </c>
      <c r="G346" s="9">
        <v>0</v>
      </c>
      <c r="H346" s="9">
        <v>2</v>
      </c>
      <c r="I346">
        <v>0</v>
      </c>
      <c r="J346" t="s">
        <v>105</v>
      </c>
      <c r="K346" s="2">
        <v>0</v>
      </c>
    </row>
    <row r="347" spans="1:11" x14ac:dyDescent="0.15">
      <c r="A347" s="8">
        <v>213001</v>
      </c>
      <c r="B347" s="9">
        <v>1</v>
      </c>
      <c r="C347" s="8">
        <v>213002</v>
      </c>
      <c r="D347" s="10" t="str">
        <f>"quest_name_"&amp;表1[[#This Row],[任务ID]]</f>
        <v>quest_name_213001</v>
      </c>
      <c r="E347" s="10" t="str">
        <f>VLOOKUP(表1[[#This Row],[任务名称]],[1]!表1_8[#Data],2,FALSE)</f>
        <v>累计登录3天</v>
      </c>
      <c r="F347" s="9">
        <v>13</v>
      </c>
      <c r="G347" s="9">
        <v>0</v>
      </c>
      <c r="H347" s="9">
        <v>3</v>
      </c>
      <c r="I347">
        <v>0</v>
      </c>
      <c r="J347" t="s">
        <v>121</v>
      </c>
      <c r="K347" s="2">
        <v>0</v>
      </c>
    </row>
    <row r="348" spans="1:11" x14ac:dyDescent="0.15">
      <c r="A348" s="8">
        <v>213002</v>
      </c>
      <c r="B348" s="9">
        <v>1</v>
      </c>
      <c r="C348" s="8">
        <v>213003</v>
      </c>
      <c r="D348" s="10" t="str">
        <f>"quest_name_"&amp;表1[[#This Row],[任务ID]]</f>
        <v>quest_name_213002</v>
      </c>
      <c r="E348" s="10" t="str">
        <f>VLOOKUP(表1[[#This Row],[任务名称]],[1]!表1_8[#Data],2,FALSE)</f>
        <v>累计登录4天</v>
      </c>
      <c r="F348" s="9">
        <v>13</v>
      </c>
      <c r="G348" s="9">
        <v>0</v>
      </c>
      <c r="H348" s="9">
        <v>4</v>
      </c>
      <c r="I348">
        <v>0</v>
      </c>
      <c r="J348" t="s">
        <v>129</v>
      </c>
      <c r="K348" s="2">
        <v>0</v>
      </c>
    </row>
    <row r="349" spans="1:11" x14ac:dyDescent="0.15">
      <c r="A349" s="8">
        <v>213003</v>
      </c>
      <c r="B349" s="9">
        <v>1</v>
      </c>
      <c r="C349" s="8">
        <v>213004</v>
      </c>
      <c r="D349" s="10" t="str">
        <f>"quest_name_"&amp;表1[[#This Row],[任务ID]]</f>
        <v>quest_name_213003</v>
      </c>
      <c r="E349" s="10" t="str">
        <f>VLOOKUP(表1[[#This Row],[任务名称]],[1]!表1_8[#Data],2,FALSE)</f>
        <v>累计登录5天</v>
      </c>
      <c r="F349" s="9">
        <v>13</v>
      </c>
      <c r="G349" s="9">
        <v>0</v>
      </c>
      <c r="H349" s="9">
        <v>5</v>
      </c>
      <c r="I349">
        <v>0</v>
      </c>
      <c r="J349" t="s">
        <v>130</v>
      </c>
      <c r="K349" s="2">
        <v>0</v>
      </c>
    </row>
    <row r="350" spans="1:11" x14ac:dyDescent="0.15">
      <c r="A350" s="8">
        <v>213004</v>
      </c>
      <c r="B350" s="9">
        <v>1</v>
      </c>
      <c r="C350" s="8">
        <v>213005</v>
      </c>
      <c r="D350" s="10" t="str">
        <f>"quest_name_"&amp;表1[[#This Row],[任务ID]]</f>
        <v>quest_name_213004</v>
      </c>
      <c r="E350" s="10" t="str">
        <f>VLOOKUP(表1[[#This Row],[任务名称]],[1]!表1_8[#Data],2,FALSE)</f>
        <v>累计登录6天</v>
      </c>
      <c r="F350" s="9">
        <v>13</v>
      </c>
      <c r="G350" s="9">
        <v>0</v>
      </c>
      <c r="H350" s="9">
        <v>6</v>
      </c>
      <c r="I350">
        <v>0</v>
      </c>
      <c r="J350" t="s">
        <v>131</v>
      </c>
      <c r="K350" s="2">
        <v>0</v>
      </c>
    </row>
    <row r="351" spans="1:11" x14ac:dyDescent="0.15">
      <c r="A351" s="8">
        <v>213005</v>
      </c>
      <c r="B351" s="9">
        <v>1</v>
      </c>
      <c r="C351" s="8">
        <v>213006</v>
      </c>
      <c r="D351" s="10" t="str">
        <f>"quest_name_"&amp;表1[[#This Row],[任务ID]]</f>
        <v>quest_name_213005</v>
      </c>
      <c r="E351" s="10" t="str">
        <f>VLOOKUP(表1[[#This Row],[任务名称]],[1]!表1_8[#Data],2,FALSE)</f>
        <v>累计登录7天</v>
      </c>
      <c r="F351" s="9">
        <v>13</v>
      </c>
      <c r="G351" s="9">
        <v>0</v>
      </c>
      <c r="H351" s="9">
        <v>7</v>
      </c>
      <c r="I351">
        <v>0</v>
      </c>
      <c r="J351" t="s">
        <v>132</v>
      </c>
      <c r="K351" s="2">
        <v>0</v>
      </c>
    </row>
    <row r="352" spans="1:11" x14ac:dyDescent="0.15">
      <c r="A352" s="8">
        <v>213006</v>
      </c>
      <c r="B352" s="9">
        <v>1</v>
      </c>
      <c r="C352" s="8">
        <v>213007</v>
      </c>
      <c r="D352" s="10" t="str">
        <f>"quest_name_"&amp;表1[[#This Row],[任务ID]]</f>
        <v>quest_name_213006</v>
      </c>
      <c r="E352" s="10" t="str">
        <f>VLOOKUP(表1[[#This Row],[任务名称]],[1]!表1_8[#Data],2,FALSE)</f>
        <v>累计登录8天</v>
      </c>
      <c r="F352" s="9">
        <v>13</v>
      </c>
      <c r="G352" s="9">
        <v>0</v>
      </c>
      <c r="H352" s="9">
        <v>8</v>
      </c>
      <c r="I352">
        <v>0</v>
      </c>
      <c r="J352" t="s">
        <v>133</v>
      </c>
      <c r="K352" s="2">
        <v>0</v>
      </c>
    </row>
    <row r="353" spans="1:11" x14ac:dyDescent="0.15">
      <c r="A353" s="8">
        <v>213007</v>
      </c>
      <c r="B353" s="9">
        <v>1</v>
      </c>
      <c r="C353" s="8">
        <v>213008</v>
      </c>
      <c r="D353" s="10" t="str">
        <f>"quest_name_"&amp;表1[[#This Row],[任务ID]]</f>
        <v>quest_name_213007</v>
      </c>
      <c r="E353" s="10" t="str">
        <f>VLOOKUP(表1[[#This Row],[任务名称]],[1]!表1_8[#Data],2,FALSE)</f>
        <v>累计登录9天</v>
      </c>
      <c r="F353" s="9">
        <v>13</v>
      </c>
      <c r="G353" s="9">
        <v>0</v>
      </c>
      <c r="H353" s="9">
        <v>9</v>
      </c>
      <c r="I353">
        <v>0</v>
      </c>
      <c r="J353" t="s">
        <v>134</v>
      </c>
      <c r="K353" s="2">
        <v>0</v>
      </c>
    </row>
    <row r="354" spans="1:11" x14ac:dyDescent="0.15">
      <c r="A354" s="8">
        <v>213008</v>
      </c>
      <c r="B354" s="9">
        <v>1</v>
      </c>
      <c r="C354" s="8">
        <v>213009</v>
      </c>
      <c r="D354" s="10" t="str">
        <f>"quest_name_"&amp;表1[[#This Row],[任务ID]]</f>
        <v>quest_name_213008</v>
      </c>
      <c r="E354" s="10" t="str">
        <f>VLOOKUP(表1[[#This Row],[任务名称]],[1]!表1_8[#Data],2,FALSE)</f>
        <v>累计登录10天</v>
      </c>
      <c r="F354" s="9">
        <v>13</v>
      </c>
      <c r="G354" s="9">
        <v>0</v>
      </c>
      <c r="H354" s="9">
        <v>10</v>
      </c>
      <c r="I354">
        <v>0</v>
      </c>
      <c r="J354" t="s">
        <v>135</v>
      </c>
      <c r="K354" s="2">
        <v>0</v>
      </c>
    </row>
    <row r="355" spans="1:11" x14ac:dyDescent="0.15">
      <c r="A355" s="8">
        <v>213009</v>
      </c>
      <c r="B355" s="9">
        <v>1</v>
      </c>
      <c r="C355" s="8">
        <v>213010</v>
      </c>
      <c r="D355" s="10" t="str">
        <f>"quest_name_"&amp;表1[[#This Row],[任务ID]]</f>
        <v>quest_name_213009</v>
      </c>
      <c r="E355" s="10" t="str">
        <f>VLOOKUP(表1[[#This Row],[任务名称]],[1]!表1_8[#Data],2,FALSE)</f>
        <v>累计登录12天</v>
      </c>
      <c r="F355" s="9">
        <v>13</v>
      </c>
      <c r="G355" s="9">
        <v>0</v>
      </c>
      <c r="H355" s="9">
        <v>12</v>
      </c>
      <c r="I355">
        <v>0</v>
      </c>
      <c r="J355" t="s">
        <v>136</v>
      </c>
      <c r="K355" s="2">
        <v>0</v>
      </c>
    </row>
    <row r="356" spans="1:11" x14ac:dyDescent="0.15">
      <c r="A356" s="8">
        <v>213010</v>
      </c>
      <c r="B356" s="9">
        <v>1</v>
      </c>
      <c r="C356" s="8">
        <v>213011</v>
      </c>
      <c r="D356" s="10" t="str">
        <f>"quest_name_"&amp;表1[[#This Row],[任务ID]]</f>
        <v>quest_name_213010</v>
      </c>
      <c r="E356" s="10" t="str">
        <f>VLOOKUP(表1[[#This Row],[任务名称]],[1]!表1_8[#Data],2,FALSE)</f>
        <v>累计登录14天</v>
      </c>
      <c r="F356" s="9">
        <v>13</v>
      </c>
      <c r="G356" s="9">
        <v>0</v>
      </c>
      <c r="H356" s="9">
        <v>14</v>
      </c>
      <c r="I356">
        <v>0</v>
      </c>
      <c r="J356" t="s">
        <v>137</v>
      </c>
      <c r="K356" s="2">
        <v>0</v>
      </c>
    </row>
    <row r="357" spans="1:11" x14ac:dyDescent="0.15">
      <c r="A357" s="8">
        <v>213011</v>
      </c>
      <c r="B357" s="9">
        <v>1</v>
      </c>
      <c r="C357" s="8">
        <v>213012</v>
      </c>
      <c r="D357" s="10" t="str">
        <f>"quest_name_"&amp;表1[[#This Row],[任务ID]]</f>
        <v>quest_name_213011</v>
      </c>
      <c r="E357" s="10" t="str">
        <f>VLOOKUP(表1[[#This Row],[任务名称]],[1]!表1_8[#Data],2,FALSE)</f>
        <v>累计登录16天</v>
      </c>
      <c r="F357" s="9">
        <v>13</v>
      </c>
      <c r="G357" s="9">
        <v>0</v>
      </c>
      <c r="H357" s="9">
        <v>16</v>
      </c>
      <c r="I357">
        <v>0</v>
      </c>
      <c r="J357" t="s">
        <v>138</v>
      </c>
      <c r="K357" s="2">
        <v>0</v>
      </c>
    </row>
    <row r="358" spans="1:11" x14ac:dyDescent="0.15">
      <c r="A358" s="8">
        <v>213012</v>
      </c>
      <c r="B358" s="9">
        <v>1</v>
      </c>
      <c r="C358" s="8">
        <v>213013</v>
      </c>
      <c r="D358" s="10" t="str">
        <f>"quest_name_"&amp;表1[[#This Row],[任务ID]]</f>
        <v>quest_name_213012</v>
      </c>
      <c r="E358" s="10" t="str">
        <f>VLOOKUP(表1[[#This Row],[任务名称]],[1]!表1_8[#Data],2,FALSE)</f>
        <v>累计登录18天</v>
      </c>
      <c r="F358" s="9">
        <v>13</v>
      </c>
      <c r="G358" s="9">
        <v>0</v>
      </c>
      <c r="H358" s="9">
        <v>18</v>
      </c>
      <c r="I358">
        <v>0</v>
      </c>
      <c r="J358" t="s">
        <v>139</v>
      </c>
      <c r="K358" s="2">
        <v>0</v>
      </c>
    </row>
    <row r="359" spans="1:11" x14ac:dyDescent="0.15">
      <c r="A359" s="8">
        <v>213013</v>
      </c>
      <c r="B359" s="9">
        <v>1</v>
      </c>
      <c r="C359" s="8">
        <v>213014</v>
      </c>
      <c r="D359" s="10" t="str">
        <f>"quest_name_"&amp;表1[[#This Row],[任务ID]]</f>
        <v>quest_name_213013</v>
      </c>
      <c r="E359" s="10" t="str">
        <f>VLOOKUP(表1[[#This Row],[任务名称]],[1]!表1_8[#Data],2,FALSE)</f>
        <v>累计登录20天</v>
      </c>
      <c r="F359" s="9">
        <v>13</v>
      </c>
      <c r="G359" s="9">
        <v>0</v>
      </c>
      <c r="H359" s="9">
        <v>20</v>
      </c>
      <c r="I359">
        <v>0</v>
      </c>
      <c r="J359" t="s">
        <v>140</v>
      </c>
      <c r="K359" s="2">
        <v>0</v>
      </c>
    </row>
    <row r="360" spans="1:11" x14ac:dyDescent="0.15">
      <c r="A360" s="8">
        <v>213014</v>
      </c>
      <c r="B360" s="9">
        <v>1</v>
      </c>
      <c r="C360" s="8">
        <v>213015</v>
      </c>
      <c r="D360" s="10" t="str">
        <f>"quest_name_"&amp;表1[[#This Row],[任务ID]]</f>
        <v>quest_name_213014</v>
      </c>
      <c r="E360" s="10" t="str">
        <f>VLOOKUP(表1[[#This Row],[任务名称]],[1]!表1_8[#Data],2,FALSE)</f>
        <v>累计登录25天</v>
      </c>
      <c r="F360" s="9">
        <v>13</v>
      </c>
      <c r="G360" s="9">
        <v>0</v>
      </c>
      <c r="H360" s="9">
        <v>25</v>
      </c>
      <c r="I360">
        <v>0</v>
      </c>
      <c r="J360" t="s">
        <v>141</v>
      </c>
      <c r="K360" s="2">
        <v>0</v>
      </c>
    </row>
    <row r="361" spans="1:11" x14ac:dyDescent="0.15">
      <c r="A361" s="8">
        <v>213015</v>
      </c>
      <c r="B361" s="9">
        <v>1</v>
      </c>
      <c r="C361" s="8">
        <v>213016</v>
      </c>
      <c r="D361" s="10" t="str">
        <f>"quest_name_"&amp;表1[[#This Row],[任务ID]]</f>
        <v>quest_name_213015</v>
      </c>
      <c r="E361" s="10" t="str">
        <f>VLOOKUP(表1[[#This Row],[任务名称]],[1]!表1_8[#Data],2,FALSE)</f>
        <v>累计登录30天</v>
      </c>
      <c r="F361" s="9">
        <v>13</v>
      </c>
      <c r="G361" s="9">
        <v>0</v>
      </c>
      <c r="H361" s="9">
        <v>30</v>
      </c>
      <c r="I361">
        <v>0</v>
      </c>
      <c r="J361" t="s">
        <v>142</v>
      </c>
      <c r="K361" s="2">
        <v>0</v>
      </c>
    </row>
    <row r="362" spans="1:11" x14ac:dyDescent="0.15">
      <c r="A362" s="8">
        <v>213016</v>
      </c>
      <c r="B362" s="9">
        <v>1</v>
      </c>
      <c r="C362" s="8">
        <v>213017</v>
      </c>
      <c r="D362" s="10" t="str">
        <f>"quest_name_"&amp;表1[[#This Row],[任务ID]]</f>
        <v>quest_name_213016</v>
      </c>
      <c r="E362" s="10" t="str">
        <f>VLOOKUP(表1[[#This Row],[任务名称]],[1]!表1_8[#Data],2,FALSE)</f>
        <v>累计登录35天</v>
      </c>
      <c r="F362" s="9">
        <v>13</v>
      </c>
      <c r="G362" s="9">
        <v>0</v>
      </c>
      <c r="H362" s="9">
        <v>35</v>
      </c>
      <c r="I362">
        <v>0</v>
      </c>
      <c r="J362" t="s">
        <v>143</v>
      </c>
      <c r="K362" s="2">
        <v>0</v>
      </c>
    </row>
    <row r="363" spans="1:11" x14ac:dyDescent="0.15">
      <c r="A363" s="8">
        <v>213017</v>
      </c>
      <c r="B363" s="9">
        <v>1</v>
      </c>
      <c r="C363" s="8">
        <v>213018</v>
      </c>
      <c r="D363" s="10" t="str">
        <f>"quest_name_"&amp;表1[[#This Row],[任务ID]]</f>
        <v>quest_name_213017</v>
      </c>
      <c r="E363" s="10" t="str">
        <f>VLOOKUP(表1[[#This Row],[任务名称]],[1]!表1_8[#Data],2,FALSE)</f>
        <v>累计登录40天</v>
      </c>
      <c r="F363" s="9">
        <v>13</v>
      </c>
      <c r="G363" s="9">
        <v>0</v>
      </c>
      <c r="H363" s="9">
        <v>40</v>
      </c>
      <c r="I363">
        <v>0</v>
      </c>
      <c r="J363" t="s">
        <v>144</v>
      </c>
      <c r="K363" s="2">
        <v>0</v>
      </c>
    </row>
    <row r="364" spans="1:11" x14ac:dyDescent="0.15">
      <c r="A364" s="8">
        <v>213018</v>
      </c>
      <c r="B364" s="9">
        <v>1</v>
      </c>
      <c r="C364" s="8">
        <v>213019</v>
      </c>
      <c r="D364" s="10" t="str">
        <f>"quest_name_"&amp;表1[[#This Row],[任务ID]]</f>
        <v>quest_name_213018</v>
      </c>
      <c r="E364" s="10" t="str">
        <f>VLOOKUP(表1[[#This Row],[任务名称]],[1]!表1_8[#Data],2,FALSE)</f>
        <v>累计登录45天</v>
      </c>
      <c r="F364" s="9">
        <v>13</v>
      </c>
      <c r="G364" s="9">
        <v>0</v>
      </c>
      <c r="H364" s="9">
        <v>45</v>
      </c>
      <c r="I364">
        <v>0</v>
      </c>
      <c r="J364" t="s">
        <v>145</v>
      </c>
      <c r="K364" s="2">
        <v>0</v>
      </c>
    </row>
    <row r="365" spans="1:11" x14ac:dyDescent="0.15">
      <c r="A365" s="8">
        <v>213019</v>
      </c>
      <c r="B365" s="9">
        <v>1</v>
      </c>
      <c r="C365" s="8">
        <v>213020</v>
      </c>
      <c r="D365" s="10" t="str">
        <f>"quest_name_"&amp;表1[[#This Row],[任务ID]]</f>
        <v>quest_name_213019</v>
      </c>
      <c r="E365" s="10" t="str">
        <f>VLOOKUP(表1[[#This Row],[任务名称]],[1]!表1_8[#Data],2,FALSE)</f>
        <v>累计登录50天</v>
      </c>
      <c r="F365" s="9">
        <v>13</v>
      </c>
      <c r="G365" s="9">
        <v>0</v>
      </c>
      <c r="H365" s="9">
        <v>50</v>
      </c>
      <c r="I365">
        <v>0</v>
      </c>
      <c r="J365" t="s">
        <v>146</v>
      </c>
      <c r="K365" s="2">
        <v>0</v>
      </c>
    </row>
    <row r="366" spans="1:11" x14ac:dyDescent="0.15">
      <c r="A366" s="8">
        <v>213020</v>
      </c>
      <c r="B366" s="9">
        <v>1</v>
      </c>
      <c r="C366" s="8">
        <v>213021</v>
      </c>
      <c r="D366" s="10" t="str">
        <f>"quest_name_"&amp;表1[[#This Row],[任务ID]]</f>
        <v>quest_name_213020</v>
      </c>
      <c r="E366" s="10" t="str">
        <f>VLOOKUP(表1[[#This Row],[任务名称]],[1]!表1_8[#Data],2,FALSE)</f>
        <v>累计登录60天</v>
      </c>
      <c r="F366" s="9">
        <v>13</v>
      </c>
      <c r="G366" s="9">
        <v>0</v>
      </c>
      <c r="H366" s="9">
        <v>60</v>
      </c>
      <c r="I366">
        <v>0</v>
      </c>
      <c r="J366" t="s">
        <v>147</v>
      </c>
      <c r="K366" s="2">
        <v>0</v>
      </c>
    </row>
    <row r="367" spans="1:11" x14ac:dyDescent="0.15">
      <c r="A367" s="8">
        <v>213021</v>
      </c>
      <c r="B367" s="9">
        <v>1</v>
      </c>
      <c r="C367" s="8">
        <v>213022</v>
      </c>
      <c r="D367" s="10" t="str">
        <f>"quest_name_"&amp;表1[[#This Row],[任务ID]]</f>
        <v>quest_name_213021</v>
      </c>
      <c r="E367" s="10" t="str">
        <f>VLOOKUP(表1[[#This Row],[任务名称]],[1]!表1_8[#Data],2,FALSE)</f>
        <v>累计登录70天</v>
      </c>
      <c r="F367" s="9">
        <v>13</v>
      </c>
      <c r="G367" s="9">
        <v>0</v>
      </c>
      <c r="H367" s="9">
        <v>70</v>
      </c>
      <c r="I367">
        <v>0</v>
      </c>
      <c r="J367" t="s">
        <v>148</v>
      </c>
      <c r="K367" s="2">
        <v>0</v>
      </c>
    </row>
    <row r="368" spans="1:11" x14ac:dyDescent="0.15">
      <c r="A368" s="8">
        <v>213022</v>
      </c>
      <c r="B368" s="9">
        <v>1</v>
      </c>
      <c r="C368" s="8">
        <v>213023</v>
      </c>
      <c r="D368" s="10" t="str">
        <f>"quest_name_"&amp;表1[[#This Row],[任务ID]]</f>
        <v>quest_name_213022</v>
      </c>
      <c r="E368" s="10" t="str">
        <f>VLOOKUP(表1[[#This Row],[任务名称]],[1]!表1_8[#Data],2,FALSE)</f>
        <v>累计登录80天</v>
      </c>
      <c r="F368" s="9">
        <v>13</v>
      </c>
      <c r="G368" s="9">
        <v>0</v>
      </c>
      <c r="H368" s="9">
        <v>80</v>
      </c>
      <c r="I368">
        <v>0</v>
      </c>
      <c r="J368" t="s">
        <v>149</v>
      </c>
      <c r="K368" s="2">
        <v>0</v>
      </c>
    </row>
    <row r="369" spans="1:11" x14ac:dyDescent="0.15">
      <c r="A369" s="8">
        <v>213023</v>
      </c>
      <c r="B369" s="9">
        <v>1</v>
      </c>
      <c r="C369" s="8">
        <v>213024</v>
      </c>
      <c r="D369" s="10" t="str">
        <f>"quest_name_"&amp;表1[[#This Row],[任务ID]]</f>
        <v>quest_name_213023</v>
      </c>
      <c r="E369" s="10" t="str">
        <f>VLOOKUP(表1[[#This Row],[任务名称]],[1]!表1_8[#Data],2,FALSE)</f>
        <v>累计登录90天</v>
      </c>
      <c r="F369" s="9">
        <v>13</v>
      </c>
      <c r="G369" s="9">
        <v>0</v>
      </c>
      <c r="H369" s="9">
        <v>90</v>
      </c>
      <c r="I369">
        <v>0</v>
      </c>
      <c r="J369" t="s">
        <v>150</v>
      </c>
      <c r="K369" s="2">
        <v>0</v>
      </c>
    </row>
    <row r="370" spans="1:11" x14ac:dyDescent="0.15">
      <c r="A370" s="8">
        <v>213024</v>
      </c>
      <c r="B370" s="9">
        <v>1</v>
      </c>
      <c r="C370" s="8">
        <v>213025</v>
      </c>
      <c r="D370" s="10" t="str">
        <f>"quest_name_"&amp;表1[[#This Row],[任务ID]]</f>
        <v>quest_name_213024</v>
      </c>
      <c r="E370" s="10" t="str">
        <f>VLOOKUP(表1[[#This Row],[任务名称]],[1]!表1_8[#Data],2,FALSE)</f>
        <v>累计登录100天</v>
      </c>
      <c r="F370" s="9">
        <v>13</v>
      </c>
      <c r="G370" s="9">
        <v>0</v>
      </c>
      <c r="H370" s="9">
        <v>100</v>
      </c>
      <c r="I370">
        <v>0</v>
      </c>
      <c r="J370" t="s">
        <v>151</v>
      </c>
      <c r="K370" s="2">
        <v>0</v>
      </c>
    </row>
    <row r="371" spans="1:11" x14ac:dyDescent="0.15">
      <c r="A371" s="8">
        <v>213025</v>
      </c>
      <c r="B371" s="9">
        <v>1</v>
      </c>
      <c r="C371" s="8">
        <v>213026</v>
      </c>
      <c r="D371" s="10" t="str">
        <f>"quest_name_"&amp;表1[[#This Row],[任务ID]]</f>
        <v>quest_name_213025</v>
      </c>
      <c r="E371" s="10" t="str">
        <f>VLOOKUP(表1[[#This Row],[任务名称]],[1]!表1_8[#Data],2,FALSE)</f>
        <v>累计登录120天</v>
      </c>
      <c r="F371" s="9">
        <v>13</v>
      </c>
      <c r="G371" s="9">
        <v>0</v>
      </c>
      <c r="H371" s="9">
        <v>120</v>
      </c>
      <c r="I371">
        <v>0</v>
      </c>
      <c r="J371" t="s">
        <v>152</v>
      </c>
      <c r="K371" s="2">
        <v>0</v>
      </c>
    </row>
    <row r="372" spans="1:11" x14ac:dyDescent="0.15">
      <c r="A372" s="8">
        <v>213026</v>
      </c>
      <c r="B372" s="9">
        <v>1</v>
      </c>
      <c r="C372" s="8">
        <v>213027</v>
      </c>
      <c r="D372" s="10" t="str">
        <f>"quest_name_"&amp;表1[[#This Row],[任务ID]]</f>
        <v>quest_name_213026</v>
      </c>
      <c r="E372" s="10" t="str">
        <f>VLOOKUP(表1[[#This Row],[任务名称]],[1]!表1_8[#Data],2,FALSE)</f>
        <v>累计登录140天</v>
      </c>
      <c r="F372" s="9">
        <v>13</v>
      </c>
      <c r="G372" s="9">
        <v>0</v>
      </c>
      <c r="H372" s="9">
        <v>140</v>
      </c>
      <c r="I372">
        <v>0</v>
      </c>
      <c r="J372" t="s">
        <v>153</v>
      </c>
      <c r="K372" s="2">
        <v>0</v>
      </c>
    </row>
    <row r="373" spans="1:11" x14ac:dyDescent="0.15">
      <c r="A373" s="8">
        <v>213027</v>
      </c>
      <c r="B373" s="9">
        <v>1</v>
      </c>
      <c r="C373" s="8">
        <v>213028</v>
      </c>
      <c r="D373" s="10" t="str">
        <f>"quest_name_"&amp;表1[[#This Row],[任务ID]]</f>
        <v>quest_name_213027</v>
      </c>
      <c r="E373" s="10" t="str">
        <f>VLOOKUP(表1[[#This Row],[任务名称]],[1]!表1_8[#Data],2,FALSE)</f>
        <v>累计登录160天</v>
      </c>
      <c r="F373" s="9">
        <v>13</v>
      </c>
      <c r="G373" s="9">
        <v>0</v>
      </c>
      <c r="H373" s="9">
        <v>160</v>
      </c>
      <c r="I373">
        <v>0</v>
      </c>
      <c r="J373" t="s">
        <v>154</v>
      </c>
      <c r="K373" s="2">
        <v>0</v>
      </c>
    </row>
    <row r="374" spans="1:11" x14ac:dyDescent="0.15">
      <c r="A374" s="8">
        <v>213028</v>
      </c>
      <c r="B374" s="9">
        <v>1</v>
      </c>
      <c r="C374" s="8">
        <v>213029</v>
      </c>
      <c r="D374" s="10" t="str">
        <f>"quest_name_"&amp;表1[[#This Row],[任务ID]]</f>
        <v>quest_name_213028</v>
      </c>
      <c r="E374" s="10" t="str">
        <f>VLOOKUP(表1[[#This Row],[任务名称]],[1]!表1_8[#Data],2,FALSE)</f>
        <v>累计登录180天</v>
      </c>
      <c r="F374" s="9">
        <v>13</v>
      </c>
      <c r="G374" s="9">
        <v>0</v>
      </c>
      <c r="H374" s="9">
        <v>180</v>
      </c>
      <c r="I374">
        <v>0</v>
      </c>
      <c r="J374" t="s">
        <v>155</v>
      </c>
      <c r="K374" s="2">
        <v>0</v>
      </c>
    </row>
    <row r="375" spans="1:11" x14ac:dyDescent="0.15">
      <c r="A375" s="8">
        <v>213029</v>
      </c>
      <c r="B375" s="9">
        <v>1</v>
      </c>
      <c r="C375" s="8">
        <v>0</v>
      </c>
      <c r="D375" s="10" t="str">
        <f>"quest_name_"&amp;表1[[#This Row],[任务ID]]</f>
        <v>quest_name_213029</v>
      </c>
      <c r="E375" s="10" t="str">
        <f>VLOOKUP(表1[[#This Row],[任务名称]],[1]!表1_8[#Data],2,FALSE)</f>
        <v>累计登录200天</v>
      </c>
      <c r="F375" s="9">
        <v>13</v>
      </c>
      <c r="G375" s="9">
        <v>0</v>
      </c>
      <c r="H375" s="9">
        <v>200</v>
      </c>
      <c r="I375">
        <v>0</v>
      </c>
      <c r="J375" t="s">
        <v>156</v>
      </c>
      <c r="K375" s="2">
        <v>0</v>
      </c>
    </row>
    <row r="376" spans="1:11" x14ac:dyDescent="0.15">
      <c r="A376" s="8">
        <v>215000</v>
      </c>
      <c r="B376" s="9">
        <v>1</v>
      </c>
      <c r="C376" s="8">
        <v>215001</v>
      </c>
      <c r="D376" s="10" t="str">
        <f>"quest_name_"&amp;表1[[#This Row],[任务ID]]</f>
        <v>quest_name_215000</v>
      </c>
      <c r="E376" s="10" t="str">
        <f>VLOOKUP(表1[[#This Row],[任务名称]],[1]!表1_8[#Data],2,FALSE)</f>
        <v>成为VIP1</v>
      </c>
      <c r="F376" s="9">
        <v>15</v>
      </c>
      <c r="G376" s="9">
        <v>0</v>
      </c>
      <c r="H376" s="9">
        <v>1</v>
      </c>
      <c r="I376">
        <v>0</v>
      </c>
      <c r="J376" t="s">
        <v>228</v>
      </c>
      <c r="K376" s="2">
        <v>0</v>
      </c>
    </row>
    <row r="377" spans="1:11" x14ac:dyDescent="0.15">
      <c r="A377" s="8">
        <v>215001</v>
      </c>
      <c r="B377" s="9">
        <v>1</v>
      </c>
      <c r="C377" s="8">
        <v>215002</v>
      </c>
      <c r="D377" s="10" t="str">
        <f>"quest_name_"&amp;表1[[#This Row],[任务ID]]</f>
        <v>quest_name_215001</v>
      </c>
      <c r="E377" s="10" t="str">
        <f>VLOOKUP(表1[[#This Row],[任务名称]],[1]!表1_8[#Data],2,FALSE)</f>
        <v>成为VIP2</v>
      </c>
      <c r="F377" s="9">
        <v>15</v>
      </c>
      <c r="G377" s="9">
        <v>0</v>
      </c>
      <c r="H377" s="9">
        <v>2</v>
      </c>
      <c r="I377">
        <v>0</v>
      </c>
      <c r="J377" t="s">
        <v>47</v>
      </c>
      <c r="K377" s="2">
        <v>0</v>
      </c>
    </row>
    <row r="378" spans="1:11" x14ac:dyDescent="0.15">
      <c r="A378" s="8">
        <v>215002</v>
      </c>
      <c r="B378" s="9">
        <v>1</v>
      </c>
      <c r="C378" s="8">
        <v>215003</v>
      </c>
      <c r="D378" s="10" t="str">
        <f>"quest_name_"&amp;表1[[#This Row],[任务ID]]</f>
        <v>quest_name_215002</v>
      </c>
      <c r="E378" s="10" t="str">
        <f>VLOOKUP(表1[[#This Row],[任务名称]],[1]!表1_8[#Data],2,FALSE)</f>
        <v>成为VIP3</v>
      </c>
      <c r="F378" s="9">
        <v>15</v>
      </c>
      <c r="G378" s="9">
        <v>0</v>
      </c>
      <c r="H378" s="9">
        <v>3</v>
      </c>
      <c r="I378">
        <v>0</v>
      </c>
      <c r="J378" t="s">
        <v>190</v>
      </c>
      <c r="K378" s="2">
        <v>0</v>
      </c>
    </row>
    <row r="379" spans="1:11" x14ac:dyDescent="0.15">
      <c r="A379" s="8">
        <v>215003</v>
      </c>
      <c r="B379" s="9">
        <v>1</v>
      </c>
      <c r="C379" s="8">
        <v>215004</v>
      </c>
      <c r="D379" s="10" t="str">
        <f>"quest_name_"&amp;表1[[#This Row],[任务ID]]</f>
        <v>quest_name_215003</v>
      </c>
      <c r="E379" s="10" t="str">
        <f>VLOOKUP(表1[[#This Row],[任务名称]],[1]!表1_8[#Data],2,FALSE)</f>
        <v>成为VIP4</v>
      </c>
      <c r="F379" s="9">
        <v>15</v>
      </c>
      <c r="G379" s="9">
        <v>0</v>
      </c>
      <c r="H379" s="9">
        <v>4</v>
      </c>
      <c r="I379">
        <v>0</v>
      </c>
      <c r="J379" t="s">
        <v>186</v>
      </c>
      <c r="K379" s="2">
        <v>0</v>
      </c>
    </row>
    <row r="380" spans="1:11" x14ac:dyDescent="0.15">
      <c r="A380" s="8">
        <v>215004</v>
      </c>
      <c r="B380" s="9">
        <v>1</v>
      </c>
      <c r="C380" s="8">
        <v>215005</v>
      </c>
      <c r="D380" s="10" t="str">
        <f>"quest_name_"&amp;表1[[#This Row],[任务ID]]</f>
        <v>quest_name_215004</v>
      </c>
      <c r="E380" s="10" t="str">
        <f>VLOOKUP(表1[[#This Row],[任务名称]],[1]!表1_8[#Data],2,FALSE)</f>
        <v>成为VIP5</v>
      </c>
      <c r="F380" s="9">
        <v>15</v>
      </c>
      <c r="G380" s="9">
        <v>0</v>
      </c>
      <c r="H380" s="9">
        <v>5</v>
      </c>
      <c r="I380">
        <v>0</v>
      </c>
      <c r="J380" t="s">
        <v>234</v>
      </c>
      <c r="K380" s="2">
        <v>0</v>
      </c>
    </row>
    <row r="381" spans="1:11" x14ac:dyDescent="0.15">
      <c r="A381" s="8">
        <v>215005</v>
      </c>
      <c r="B381" s="9">
        <v>1</v>
      </c>
      <c r="C381" s="8">
        <v>215006</v>
      </c>
      <c r="D381" s="10" t="str">
        <f>"quest_name_"&amp;表1[[#This Row],[任务ID]]</f>
        <v>quest_name_215005</v>
      </c>
      <c r="E381" s="10" t="str">
        <f>VLOOKUP(表1[[#This Row],[任务名称]],[1]!表1_8[#Data],2,FALSE)</f>
        <v>成为VIP6</v>
      </c>
      <c r="F381" s="9">
        <v>15</v>
      </c>
      <c r="G381" s="9">
        <v>0</v>
      </c>
      <c r="H381" s="9">
        <v>6</v>
      </c>
      <c r="I381">
        <v>0</v>
      </c>
      <c r="J381" t="s">
        <v>194</v>
      </c>
      <c r="K381" s="2">
        <v>0</v>
      </c>
    </row>
    <row r="382" spans="1:11" x14ac:dyDescent="0.15">
      <c r="A382" s="8">
        <v>215006</v>
      </c>
      <c r="B382" s="9">
        <v>1</v>
      </c>
      <c r="C382" s="8">
        <v>215007</v>
      </c>
      <c r="D382" s="10" t="str">
        <f>"quest_name_"&amp;表1[[#This Row],[任务ID]]</f>
        <v>quest_name_215006</v>
      </c>
      <c r="E382" s="10" t="str">
        <f>VLOOKUP(表1[[#This Row],[任务名称]],[1]!表1_8[#Data],2,FALSE)</f>
        <v>成为VIP7</v>
      </c>
      <c r="F382" s="9">
        <v>15</v>
      </c>
      <c r="G382" s="9">
        <v>0</v>
      </c>
      <c r="H382" s="9">
        <v>7</v>
      </c>
      <c r="I382">
        <v>0</v>
      </c>
      <c r="J382" t="s">
        <v>235</v>
      </c>
      <c r="K382" s="2">
        <v>0</v>
      </c>
    </row>
    <row r="383" spans="1:11" x14ac:dyDescent="0.15">
      <c r="A383" s="8">
        <v>215007</v>
      </c>
      <c r="B383" s="9">
        <v>1</v>
      </c>
      <c r="C383" s="8">
        <v>215008</v>
      </c>
      <c r="D383" s="10" t="str">
        <f>"quest_name_"&amp;表1[[#This Row],[任务ID]]</f>
        <v>quest_name_215007</v>
      </c>
      <c r="E383" s="10" t="str">
        <f>VLOOKUP(表1[[#This Row],[任务名称]],[1]!表1_8[#Data],2,FALSE)</f>
        <v>成为VIP8</v>
      </c>
      <c r="F383" s="9">
        <v>15</v>
      </c>
      <c r="G383" s="9">
        <v>0</v>
      </c>
      <c r="H383" s="9">
        <v>8</v>
      </c>
      <c r="I383">
        <v>0</v>
      </c>
      <c r="J383" t="s">
        <v>199</v>
      </c>
      <c r="K383" s="2">
        <v>0</v>
      </c>
    </row>
    <row r="384" spans="1:11" x14ac:dyDescent="0.15">
      <c r="A384" s="8">
        <v>215008</v>
      </c>
      <c r="B384" s="9">
        <v>1</v>
      </c>
      <c r="C384" s="8">
        <v>215009</v>
      </c>
      <c r="D384" s="10" t="str">
        <f>"quest_name_"&amp;表1[[#This Row],[任务ID]]</f>
        <v>quest_name_215008</v>
      </c>
      <c r="E384" s="10" t="str">
        <f>VLOOKUP(表1[[#This Row],[任务名称]],[1]!表1_8[#Data],2,FALSE)</f>
        <v>成为VIP9</v>
      </c>
      <c r="F384" s="9">
        <v>15</v>
      </c>
      <c r="G384" s="9">
        <v>0</v>
      </c>
      <c r="H384" s="9">
        <v>9</v>
      </c>
      <c r="I384">
        <v>0</v>
      </c>
      <c r="J384" t="s">
        <v>236</v>
      </c>
      <c r="K384" s="2">
        <v>0</v>
      </c>
    </row>
    <row r="385" spans="1:11" x14ac:dyDescent="0.15">
      <c r="A385" s="8">
        <v>215009</v>
      </c>
      <c r="B385" s="9">
        <v>1</v>
      </c>
      <c r="C385" s="8">
        <v>215010</v>
      </c>
      <c r="D385" s="10" t="str">
        <f>"quest_name_"&amp;表1[[#This Row],[任务ID]]</f>
        <v>quest_name_215009</v>
      </c>
      <c r="E385" s="10" t="str">
        <f>VLOOKUP(表1[[#This Row],[任务名称]],[1]!表1_8[#Data],2,FALSE)</f>
        <v>成为VIP10</v>
      </c>
      <c r="F385" s="9">
        <v>15</v>
      </c>
      <c r="G385" s="9">
        <v>0</v>
      </c>
      <c r="H385" s="9">
        <v>10</v>
      </c>
      <c r="I385">
        <v>0</v>
      </c>
      <c r="J385" t="s">
        <v>237</v>
      </c>
      <c r="K385" s="2">
        <v>0</v>
      </c>
    </row>
    <row r="386" spans="1:11" x14ac:dyDescent="0.15">
      <c r="A386" s="8">
        <v>215010</v>
      </c>
      <c r="B386" s="9">
        <v>1</v>
      </c>
      <c r="C386" s="8">
        <v>215011</v>
      </c>
      <c r="D386" s="10" t="str">
        <f>"quest_name_"&amp;表1[[#This Row],[任务ID]]</f>
        <v>quest_name_215010</v>
      </c>
      <c r="E386" s="10" t="str">
        <f>VLOOKUP(表1[[#This Row],[任务名称]],[1]!表1_8[#Data],2,FALSE)</f>
        <v>成为VIP11</v>
      </c>
      <c r="F386" s="9">
        <v>15</v>
      </c>
      <c r="G386" s="9">
        <v>0</v>
      </c>
      <c r="H386" s="9">
        <v>11</v>
      </c>
      <c r="I386">
        <v>0</v>
      </c>
      <c r="J386" t="s">
        <v>238</v>
      </c>
      <c r="K386" s="2">
        <v>0</v>
      </c>
    </row>
    <row r="387" spans="1:11" x14ac:dyDescent="0.15">
      <c r="A387" s="8">
        <v>215011</v>
      </c>
      <c r="B387" s="9">
        <v>1</v>
      </c>
      <c r="C387" s="8">
        <v>215012</v>
      </c>
      <c r="D387" s="10" t="str">
        <f>"quest_name_"&amp;表1[[#This Row],[任务ID]]</f>
        <v>quest_name_215011</v>
      </c>
      <c r="E387" s="10" t="str">
        <f>VLOOKUP(表1[[#This Row],[任务名称]],[1]!表1_8[#Data],2,FALSE)</f>
        <v>成为VIP12</v>
      </c>
      <c r="F387" s="9">
        <v>15</v>
      </c>
      <c r="G387" s="9">
        <v>0</v>
      </c>
      <c r="H387" s="9">
        <v>12</v>
      </c>
      <c r="I387">
        <v>0</v>
      </c>
      <c r="J387" t="s">
        <v>239</v>
      </c>
      <c r="K387" s="2">
        <v>0</v>
      </c>
    </row>
    <row r="388" spans="1:11" x14ac:dyDescent="0.15">
      <c r="A388" s="8">
        <v>215012</v>
      </c>
      <c r="B388" s="9">
        <v>1</v>
      </c>
      <c r="C388" s="8">
        <v>215013</v>
      </c>
      <c r="D388" s="10" t="str">
        <f>"quest_name_"&amp;表1[[#This Row],[任务ID]]</f>
        <v>quest_name_215012</v>
      </c>
      <c r="E388" s="10" t="str">
        <f>VLOOKUP(表1[[#This Row],[任务名称]],[1]!表1_8[#Data],2,FALSE)</f>
        <v>成为VIP13</v>
      </c>
      <c r="F388" s="9">
        <v>15</v>
      </c>
      <c r="G388" s="9">
        <v>0</v>
      </c>
      <c r="H388" s="9">
        <v>13</v>
      </c>
      <c r="I388">
        <v>0</v>
      </c>
      <c r="J388" t="s">
        <v>240</v>
      </c>
      <c r="K388" s="2">
        <v>0</v>
      </c>
    </row>
    <row r="389" spans="1:11" x14ac:dyDescent="0.15">
      <c r="A389" s="8">
        <v>215013</v>
      </c>
      <c r="B389" s="9">
        <v>1</v>
      </c>
      <c r="C389" s="8">
        <v>215014</v>
      </c>
      <c r="D389" s="10" t="str">
        <f>"quest_name_"&amp;表1[[#This Row],[任务ID]]</f>
        <v>quest_name_215013</v>
      </c>
      <c r="E389" s="10" t="str">
        <f>VLOOKUP(表1[[#This Row],[任务名称]],[1]!表1_8[#Data],2,FALSE)</f>
        <v>成为VIP14</v>
      </c>
      <c r="F389" s="9">
        <v>15</v>
      </c>
      <c r="G389" s="9">
        <v>0</v>
      </c>
      <c r="H389" s="9">
        <v>14</v>
      </c>
      <c r="I389">
        <v>0</v>
      </c>
      <c r="J389" t="s">
        <v>241</v>
      </c>
      <c r="K389" s="2">
        <v>0</v>
      </c>
    </row>
    <row r="390" spans="1:11" x14ac:dyDescent="0.15">
      <c r="A390" s="8">
        <v>215014</v>
      </c>
      <c r="B390" s="9">
        <v>1</v>
      </c>
      <c r="C390" s="8">
        <v>0</v>
      </c>
      <c r="D390" s="10" t="str">
        <f>"quest_name_"&amp;表1[[#This Row],[任务ID]]</f>
        <v>quest_name_215014</v>
      </c>
      <c r="E390" s="10" t="str">
        <f>VLOOKUP(表1[[#This Row],[任务名称]],[1]!表1_8[#Data],2,FALSE)</f>
        <v>成为VIP15</v>
      </c>
      <c r="F390" s="9">
        <v>15</v>
      </c>
      <c r="G390" s="9">
        <v>0</v>
      </c>
      <c r="H390" s="9">
        <v>15</v>
      </c>
      <c r="I390">
        <v>0</v>
      </c>
      <c r="J390" t="s">
        <v>242</v>
      </c>
      <c r="K390" s="2">
        <v>0</v>
      </c>
    </row>
    <row r="391" spans="1:11" x14ac:dyDescent="0.15">
      <c r="A391" s="8">
        <v>222000</v>
      </c>
      <c r="B391" s="9">
        <v>1</v>
      </c>
      <c r="C391" s="8">
        <v>222001</v>
      </c>
      <c r="D391" s="10" t="str">
        <f>"quest_name_"&amp;表1[[#This Row],[任务ID]]</f>
        <v>quest_name_222000</v>
      </c>
      <c r="E391" s="10" t="str">
        <f>VLOOKUP(表1[[#This Row],[任务名称]],[1]!表1_8[#Data],2,FALSE)</f>
        <v>在保卫女神中通过30关</v>
      </c>
      <c r="F391" s="9">
        <v>22</v>
      </c>
      <c r="G391" s="9">
        <v>0</v>
      </c>
      <c r="H391" s="9">
        <v>30</v>
      </c>
      <c r="I391">
        <v>0</v>
      </c>
      <c r="J391" t="s">
        <v>211</v>
      </c>
      <c r="K391" s="2">
        <v>0</v>
      </c>
    </row>
    <row r="392" spans="1:11" x14ac:dyDescent="0.15">
      <c r="A392" s="8">
        <v>222001</v>
      </c>
      <c r="B392" s="9">
        <v>1</v>
      </c>
      <c r="C392" s="8">
        <v>222002</v>
      </c>
      <c r="D392" s="10" t="str">
        <f>"quest_name_"&amp;表1[[#This Row],[任务ID]]</f>
        <v>quest_name_222001</v>
      </c>
      <c r="E392" s="10" t="str">
        <f>VLOOKUP(表1[[#This Row],[任务名称]],[1]!表1_8[#Data],2,FALSE)</f>
        <v>在保卫女神中通过35关</v>
      </c>
      <c r="F392" s="9">
        <v>22</v>
      </c>
      <c r="G392" s="9">
        <v>0</v>
      </c>
      <c r="H392" s="9">
        <v>35</v>
      </c>
      <c r="I392">
        <v>0</v>
      </c>
      <c r="J392" t="s">
        <v>212</v>
      </c>
      <c r="K392" s="2">
        <v>0</v>
      </c>
    </row>
    <row r="393" spans="1:11" x14ac:dyDescent="0.15">
      <c r="A393" s="8">
        <v>222002</v>
      </c>
      <c r="B393" s="9">
        <v>1</v>
      </c>
      <c r="C393" s="8">
        <v>222003</v>
      </c>
      <c r="D393" s="10" t="str">
        <f>"quest_name_"&amp;表1[[#This Row],[任务ID]]</f>
        <v>quest_name_222002</v>
      </c>
      <c r="E393" s="10" t="str">
        <f>VLOOKUP(表1[[#This Row],[任务名称]],[1]!表1_8[#Data],2,FALSE)</f>
        <v>在保卫女神中通过40关</v>
      </c>
      <c r="F393" s="9">
        <v>22</v>
      </c>
      <c r="G393" s="9">
        <v>0</v>
      </c>
      <c r="H393" s="9">
        <v>40</v>
      </c>
      <c r="I393">
        <v>0</v>
      </c>
      <c r="J393" t="s">
        <v>213</v>
      </c>
      <c r="K393" s="2">
        <v>0</v>
      </c>
    </row>
    <row r="394" spans="1:11" x14ac:dyDescent="0.15">
      <c r="A394" s="8">
        <v>222003</v>
      </c>
      <c r="B394" s="9">
        <v>1</v>
      </c>
      <c r="C394" s="8">
        <v>222004</v>
      </c>
      <c r="D394" s="10" t="str">
        <f>"quest_name_"&amp;表1[[#This Row],[任务ID]]</f>
        <v>quest_name_222003</v>
      </c>
      <c r="E394" s="10" t="str">
        <f>VLOOKUP(表1[[#This Row],[任务名称]],[1]!表1_8[#Data],2,FALSE)</f>
        <v>在保卫女神中通过45关</v>
      </c>
      <c r="F394" s="9">
        <v>22</v>
      </c>
      <c r="G394" s="9">
        <v>0</v>
      </c>
      <c r="H394" s="9">
        <v>45</v>
      </c>
      <c r="I394">
        <v>0</v>
      </c>
      <c r="J394" t="s">
        <v>214</v>
      </c>
      <c r="K394" s="2">
        <v>0</v>
      </c>
    </row>
    <row r="395" spans="1:11" x14ac:dyDescent="0.15">
      <c r="A395" s="8">
        <v>222004</v>
      </c>
      <c r="B395" s="9">
        <v>1</v>
      </c>
      <c r="C395" s="8">
        <v>222005</v>
      </c>
      <c r="D395" s="10" t="str">
        <f>"quest_name_"&amp;表1[[#This Row],[任务ID]]</f>
        <v>quest_name_222004</v>
      </c>
      <c r="E395" s="10" t="str">
        <f>VLOOKUP(表1[[#This Row],[任务名称]],[1]!表1_8[#Data],2,FALSE)</f>
        <v>在保卫女神中通过50关</v>
      </c>
      <c r="F395" s="9">
        <v>22</v>
      </c>
      <c r="G395" s="9">
        <v>0</v>
      </c>
      <c r="H395" s="9">
        <v>50</v>
      </c>
      <c r="I395">
        <v>0</v>
      </c>
      <c r="J395" t="s">
        <v>215</v>
      </c>
      <c r="K395" s="2">
        <v>0</v>
      </c>
    </row>
    <row r="396" spans="1:11" x14ac:dyDescent="0.15">
      <c r="A396" s="8">
        <v>222005</v>
      </c>
      <c r="B396" s="9">
        <v>1</v>
      </c>
      <c r="C396" s="8">
        <v>222006</v>
      </c>
      <c r="D396" s="10" t="str">
        <f>"quest_name_"&amp;表1[[#This Row],[任务ID]]</f>
        <v>quest_name_222005</v>
      </c>
      <c r="E396" s="10" t="str">
        <f>VLOOKUP(表1[[#This Row],[任务名称]],[1]!表1_8[#Data],2,FALSE)</f>
        <v>在保卫女神中通过55关</v>
      </c>
      <c r="F396" s="9">
        <v>22</v>
      </c>
      <c r="G396" s="9">
        <v>0</v>
      </c>
      <c r="H396" s="9">
        <v>55</v>
      </c>
      <c r="I396">
        <v>0</v>
      </c>
      <c r="J396" t="s">
        <v>216</v>
      </c>
      <c r="K396" s="2">
        <v>0</v>
      </c>
    </row>
    <row r="397" spans="1:11" x14ac:dyDescent="0.15">
      <c r="A397" s="8">
        <v>222006</v>
      </c>
      <c r="B397" s="9">
        <v>1</v>
      </c>
      <c r="C397" s="8">
        <v>222007</v>
      </c>
      <c r="D397" s="10" t="str">
        <f>"quest_name_"&amp;表1[[#This Row],[任务ID]]</f>
        <v>quest_name_222006</v>
      </c>
      <c r="E397" s="10" t="str">
        <f>VLOOKUP(表1[[#This Row],[任务名称]],[1]!表1_8[#Data],2,FALSE)</f>
        <v>在保卫女神中通过60关</v>
      </c>
      <c r="F397" s="9">
        <v>22</v>
      </c>
      <c r="G397" s="9">
        <v>0</v>
      </c>
      <c r="H397" s="9">
        <v>60</v>
      </c>
      <c r="I397">
        <v>0</v>
      </c>
      <c r="J397" t="s">
        <v>217</v>
      </c>
      <c r="K397" s="2">
        <v>0</v>
      </c>
    </row>
    <row r="398" spans="1:11" x14ac:dyDescent="0.15">
      <c r="A398" s="8">
        <v>222007</v>
      </c>
      <c r="B398" s="9">
        <v>1</v>
      </c>
      <c r="C398" s="8">
        <v>222008</v>
      </c>
      <c r="D398" s="10" t="str">
        <f>"quest_name_"&amp;表1[[#This Row],[任务ID]]</f>
        <v>quest_name_222007</v>
      </c>
      <c r="E398" s="10" t="str">
        <f>VLOOKUP(表1[[#This Row],[任务名称]],[1]!表1_8[#Data],2,FALSE)</f>
        <v>在保卫女神中通过65关</v>
      </c>
      <c r="F398" s="9">
        <v>22</v>
      </c>
      <c r="G398" s="9">
        <v>0</v>
      </c>
      <c r="H398" s="9">
        <v>65</v>
      </c>
      <c r="I398">
        <v>0</v>
      </c>
      <c r="J398" t="s">
        <v>218</v>
      </c>
      <c r="K398" s="2">
        <v>0</v>
      </c>
    </row>
    <row r="399" spans="1:11" x14ac:dyDescent="0.15">
      <c r="A399" s="8">
        <v>222008</v>
      </c>
      <c r="B399" s="9">
        <v>1</v>
      </c>
      <c r="C399" s="8">
        <v>222009</v>
      </c>
      <c r="D399" s="10" t="str">
        <f>"quest_name_"&amp;表1[[#This Row],[任务ID]]</f>
        <v>quest_name_222008</v>
      </c>
      <c r="E399" s="10" t="str">
        <f>VLOOKUP(表1[[#This Row],[任务名称]],[1]!表1_8[#Data],2,FALSE)</f>
        <v>在保卫女神中通过70关</v>
      </c>
      <c r="F399" s="9">
        <v>22</v>
      </c>
      <c r="G399" s="9">
        <v>0</v>
      </c>
      <c r="H399" s="9">
        <v>70</v>
      </c>
      <c r="I399">
        <v>0</v>
      </c>
      <c r="J399" t="s">
        <v>219</v>
      </c>
      <c r="K399" s="2">
        <v>0</v>
      </c>
    </row>
    <row r="400" spans="1:11" x14ac:dyDescent="0.15">
      <c r="A400" s="8">
        <v>222009</v>
      </c>
      <c r="B400" s="9">
        <v>1</v>
      </c>
      <c r="C400" s="8">
        <v>222010</v>
      </c>
      <c r="D400" s="10" t="str">
        <f>"quest_name_"&amp;表1[[#This Row],[任务ID]]</f>
        <v>quest_name_222009</v>
      </c>
      <c r="E400" s="10" t="str">
        <f>VLOOKUP(表1[[#This Row],[任务名称]],[1]!表1_8[#Data],2,FALSE)</f>
        <v>在保卫女神中通过75关</v>
      </c>
      <c r="F400" s="9">
        <v>22</v>
      </c>
      <c r="G400" s="9">
        <v>0</v>
      </c>
      <c r="H400" s="9">
        <v>75</v>
      </c>
      <c r="I400">
        <v>0</v>
      </c>
      <c r="J400" t="s">
        <v>220</v>
      </c>
      <c r="K400" s="2">
        <v>0</v>
      </c>
    </row>
    <row r="401" spans="1:11" x14ac:dyDescent="0.15">
      <c r="A401" s="8">
        <v>222010</v>
      </c>
      <c r="B401" s="9">
        <v>1</v>
      </c>
      <c r="C401" s="8">
        <v>222011</v>
      </c>
      <c r="D401" s="10" t="str">
        <f>"quest_name_"&amp;表1[[#This Row],[任务ID]]</f>
        <v>quest_name_222010</v>
      </c>
      <c r="E401" s="10" t="str">
        <f>VLOOKUP(表1[[#This Row],[任务名称]],[1]!表1_8[#Data],2,FALSE)</f>
        <v>在保卫女神中通过80关</v>
      </c>
      <c r="F401" s="9">
        <v>22</v>
      </c>
      <c r="G401" s="9">
        <v>0</v>
      </c>
      <c r="H401" s="9">
        <v>80</v>
      </c>
      <c r="I401">
        <v>0</v>
      </c>
      <c r="J401" t="s">
        <v>221</v>
      </c>
      <c r="K401" s="2">
        <v>0</v>
      </c>
    </row>
    <row r="402" spans="1:11" x14ac:dyDescent="0.15">
      <c r="A402" s="14">
        <v>222011</v>
      </c>
      <c r="B402" s="15">
        <v>1</v>
      </c>
      <c r="C402" s="14">
        <v>222012</v>
      </c>
      <c r="D402" s="10" t="str">
        <f>"quest_name_"&amp;表1[[#This Row],[任务ID]]</f>
        <v>quest_name_222011</v>
      </c>
      <c r="E402" s="16" t="str">
        <f>VLOOKUP(表1[[#This Row],[任务名称]],[1]!表1_8[#Data],2,FALSE)</f>
        <v>在保卫女神中通过85关</v>
      </c>
      <c r="F402" s="15">
        <v>22</v>
      </c>
      <c r="G402" s="15">
        <v>0</v>
      </c>
      <c r="H402" s="15">
        <v>85</v>
      </c>
      <c r="I402">
        <v>0</v>
      </c>
      <c r="J402" t="s">
        <v>222</v>
      </c>
      <c r="K402" s="2">
        <v>0</v>
      </c>
    </row>
    <row r="403" spans="1:11" x14ac:dyDescent="0.15">
      <c r="A403" s="14">
        <v>222012</v>
      </c>
      <c r="B403" s="15">
        <v>1</v>
      </c>
      <c r="C403" s="14">
        <v>222013</v>
      </c>
      <c r="D403" s="10" t="str">
        <f>"quest_name_"&amp;表1[[#This Row],[任务ID]]</f>
        <v>quest_name_222012</v>
      </c>
      <c r="E403" s="16" t="str">
        <f>VLOOKUP(表1[[#This Row],[任务名称]],[1]!表1_8[#Data],2,FALSE)</f>
        <v>在保卫女神中通过90关</v>
      </c>
      <c r="F403" s="15">
        <v>22</v>
      </c>
      <c r="G403" s="15">
        <v>0</v>
      </c>
      <c r="H403" s="15">
        <v>90</v>
      </c>
      <c r="I403">
        <v>0</v>
      </c>
      <c r="J403" s="7" t="s">
        <v>223</v>
      </c>
      <c r="K403" s="2">
        <v>0</v>
      </c>
    </row>
    <row r="404" spans="1:11" x14ac:dyDescent="0.15">
      <c r="A404" s="14">
        <v>222013</v>
      </c>
      <c r="B404" s="15">
        <v>1</v>
      </c>
      <c r="C404" s="14">
        <v>222014</v>
      </c>
      <c r="D404" s="10" t="str">
        <f>"quest_name_"&amp;表1[[#This Row],[任务ID]]</f>
        <v>quest_name_222013</v>
      </c>
      <c r="E404" s="16" t="str">
        <f>VLOOKUP(表1[[#This Row],[任务名称]],[1]!表1_8[#Data],2,FALSE)</f>
        <v>在保卫女神中通过100关</v>
      </c>
      <c r="F404" s="15">
        <v>22</v>
      </c>
      <c r="G404" s="15">
        <v>0</v>
      </c>
      <c r="H404" s="15">
        <v>100</v>
      </c>
      <c r="I404">
        <v>0</v>
      </c>
      <c r="J404" s="7" t="s">
        <v>224</v>
      </c>
      <c r="K404" s="2">
        <v>0</v>
      </c>
    </row>
    <row r="405" spans="1:11" x14ac:dyDescent="0.15">
      <c r="A405" s="14">
        <v>222014</v>
      </c>
      <c r="B405" s="15">
        <v>1</v>
      </c>
      <c r="C405" s="14">
        <v>222015</v>
      </c>
      <c r="D405" s="10" t="str">
        <f>"quest_name_"&amp;表1[[#This Row],[任务ID]]</f>
        <v>quest_name_222014</v>
      </c>
      <c r="E405" s="16" t="str">
        <f>VLOOKUP(表1[[#This Row],[任务名称]],[1]!表1_8[#Data],2,FALSE)</f>
        <v>在保卫女神中通过120关</v>
      </c>
      <c r="F405" s="15">
        <v>22</v>
      </c>
      <c r="G405" s="15">
        <v>0</v>
      </c>
      <c r="H405" s="15">
        <v>120</v>
      </c>
      <c r="I405">
        <v>0</v>
      </c>
      <c r="J405" s="7" t="s">
        <v>225</v>
      </c>
      <c r="K405" s="2">
        <v>0</v>
      </c>
    </row>
    <row r="406" spans="1:11" x14ac:dyDescent="0.15">
      <c r="A406" s="14">
        <v>222015</v>
      </c>
      <c r="B406" s="15">
        <v>1</v>
      </c>
      <c r="C406" s="14">
        <v>0</v>
      </c>
      <c r="D406" s="10" t="str">
        <f>"quest_name_"&amp;表1[[#This Row],[任务ID]]</f>
        <v>quest_name_222015</v>
      </c>
      <c r="E406" s="16" t="str">
        <f>VLOOKUP(表1[[#This Row],[任务名称]],[1]!表1_8[#Data],2,FALSE)</f>
        <v>在保卫女神中通过150关</v>
      </c>
      <c r="F406" s="15">
        <v>22</v>
      </c>
      <c r="G406" s="15">
        <v>0</v>
      </c>
      <c r="H406" s="15">
        <v>150</v>
      </c>
      <c r="I406">
        <v>0</v>
      </c>
      <c r="J406" s="7" t="s">
        <v>226</v>
      </c>
      <c r="K406" s="2">
        <v>0</v>
      </c>
    </row>
    <row r="407" spans="1:11" x14ac:dyDescent="0.15">
      <c r="A407" s="14">
        <v>223000</v>
      </c>
      <c r="B407" s="15">
        <v>1</v>
      </c>
      <c r="C407" s="14">
        <v>223001</v>
      </c>
      <c r="D407" s="10" t="str">
        <f>"quest_name_"&amp;表1[[#This Row],[任务ID]]</f>
        <v>quest_name_223000</v>
      </c>
      <c r="E407" s="16" t="str">
        <f>VLOOKUP(表1[[#This Row],[任务名称]],[1]!表1_8[#Data],2,FALSE)</f>
        <v>水族馆内所有鱼总等级达到5</v>
      </c>
      <c r="F407" s="15">
        <v>23</v>
      </c>
      <c r="G407" s="15">
        <v>0</v>
      </c>
      <c r="H407" s="15">
        <v>5</v>
      </c>
      <c r="I407">
        <v>0</v>
      </c>
      <c r="J407" s="7" t="s">
        <v>158</v>
      </c>
      <c r="K407" s="2">
        <v>0</v>
      </c>
    </row>
    <row r="408" spans="1:11" x14ac:dyDescent="0.15">
      <c r="A408" s="14">
        <v>223001</v>
      </c>
      <c r="B408" s="15">
        <v>1</v>
      </c>
      <c r="C408" s="14">
        <v>223002</v>
      </c>
      <c r="D408" s="10" t="str">
        <f>"quest_name_"&amp;表1[[#This Row],[任务ID]]</f>
        <v>quest_name_223001</v>
      </c>
      <c r="E408" s="16" t="str">
        <f>VLOOKUP(表1[[#This Row],[任务名称]],[1]!表1_8[#Data],2,FALSE)</f>
        <v>水族馆内所有鱼总等级达到10</v>
      </c>
      <c r="F408" s="15">
        <v>23</v>
      </c>
      <c r="G408" s="15">
        <v>0</v>
      </c>
      <c r="H408" s="15">
        <v>10</v>
      </c>
      <c r="I408">
        <v>0</v>
      </c>
      <c r="J408" s="7" t="s">
        <v>159</v>
      </c>
      <c r="K408" s="2">
        <v>0</v>
      </c>
    </row>
    <row r="409" spans="1:11" x14ac:dyDescent="0.15">
      <c r="A409" s="14">
        <v>223002</v>
      </c>
      <c r="B409" s="15">
        <v>1</v>
      </c>
      <c r="C409" s="14">
        <v>223003</v>
      </c>
      <c r="D409" s="10" t="str">
        <f>"quest_name_"&amp;表1[[#This Row],[任务ID]]</f>
        <v>quest_name_223002</v>
      </c>
      <c r="E409" s="16" t="str">
        <f>VLOOKUP(表1[[#This Row],[任务名称]],[1]!表1_8[#Data],2,FALSE)</f>
        <v>水族馆内所有鱼总等级达到20</v>
      </c>
      <c r="F409" s="15">
        <v>23</v>
      </c>
      <c r="G409" s="15">
        <v>0</v>
      </c>
      <c r="H409" s="15">
        <v>20</v>
      </c>
      <c r="I409">
        <v>0</v>
      </c>
      <c r="J409" s="7" t="s">
        <v>160</v>
      </c>
      <c r="K409" s="2">
        <v>0</v>
      </c>
    </row>
    <row r="410" spans="1:11" x14ac:dyDescent="0.15">
      <c r="A410" s="14">
        <v>223003</v>
      </c>
      <c r="B410" s="15">
        <v>1</v>
      </c>
      <c r="C410" s="14">
        <v>223004</v>
      </c>
      <c r="D410" s="10" t="str">
        <f>"quest_name_"&amp;表1[[#This Row],[任务ID]]</f>
        <v>quest_name_223003</v>
      </c>
      <c r="E410" s="16" t="str">
        <f>VLOOKUP(表1[[#This Row],[任务名称]],[1]!表1_8[#Data],2,FALSE)</f>
        <v>水族馆内所有鱼总等级达到30</v>
      </c>
      <c r="F410" s="15">
        <v>23</v>
      </c>
      <c r="G410" s="15">
        <v>0</v>
      </c>
      <c r="H410" s="15">
        <v>30</v>
      </c>
      <c r="I410">
        <v>0</v>
      </c>
      <c r="J410" s="7" t="s">
        <v>161</v>
      </c>
      <c r="K410" s="2">
        <v>0</v>
      </c>
    </row>
    <row r="411" spans="1:11" x14ac:dyDescent="0.15">
      <c r="A411" s="14">
        <v>223004</v>
      </c>
      <c r="B411" s="15">
        <v>1</v>
      </c>
      <c r="C411" s="14">
        <v>223005</v>
      </c>
      <c r="D411" s="10" t="str">
        <f>"quest_name_"&amp;表1[[#This Row],[任务ID]]</f>
        <v>quest_name_223004</v>
      </c>
      <c r="E411" s="16" t="str">
        <f>VLOOKUP(表1[[#This Row],[任务名称]],[1]!表1_8[#Data],2,FALSE)</f>
        <v>水族馆内所有鱼总等级达到40</v>
      </c>
      <c r="F411" s="15">
        <v>23</v>
      </c>
      <c r="G411" s="15">
        <v>0</v>
      </c>
      <c r="H411" s="15">
        <v>40</v>
      </c>
      <c r="I411">
        <v>0</v>
      </c>
      <c r="J411" t="s">
        <v>162</v>
      </c>
      <c r="K411" s="2">
        <v>0</v>
      </c>
    </row>
    <row r="412" spans="1:11" x14ac:dyDescent="0.15">
      <c r="A412" s="14">
        <v>223005</v>
      </c>
      <c r="B412" s="15">
        <v>1</v>
      </c>
      <c r="C412" s="14">
        <v>223006</v>
      </c>
      <c r="D412" s="10" t="str">
        <f>"quest_name_"&amp;表1[[#This Row],[任务ID]]</f>
        <v>quest_name_223005</v>
      </c>
      <c r="E412" s="16" t="str">
        <f>VLOOKUP(表1[[#This Row],[任务名称]],[1]!表1_8[#Data],2,FALSE)</f>
        <v>水族馆内所有鱼总等级达到50</v>
      </c>
      <c r="F412" s="15">
        <v>23</v>
      </c>
      <c r="G412" s="15">
        <v>0</v>
      </c>
      <c r="H412" s="15">
        <v>50</v>
      </c>
      <c r="I412">
        <v>0</v>
      </c>
      <c r="J412" t="s">
        <v>163</v>
      </c>
      <c r="K412" s="2">
        <v>0</v>
      </c>
    </row>
    <row r="413" spans="1:11" x14ac:dyDescent="0.15">
      <c r="A413" s="14">
        <v>223006</v>
      </c>
      <c r="B413" s="15">
        <v>1</v>
      </c>
      <c r="C413" s="14">
        <v>223007</v>
      </c>
      <c r="D413" s="10" t="str">
        <f>"quest_name_"&amp;表1[[#This Row],[任务ID]]</f>
        <v>quest_name_223006</v>
      </c>
      <c r="E413" s="16" t="str">
        <f>VLOOKUP(表1[[#This Row],[任务名称]],[1]!表1_8[#Data],2,FALSE)</f>
        <v>水族馆内所有鱼总等级达到60</v>
      </c>
      <c r="F413" s="15">
        <v>23</v>
      </c>
      <c r="G413" s="15">
        <v>0</v>
      </c>
      <c r="H413" s="15">
        <v>60</v>
      </c>
      <c r="I413">
        <v>0</v>
      </c>
      <c r="J413" t="s">
        <v>164</v>
      </c>
      <c r="K413" s="2">
        <v>0</v>
      </c>
    </row>
    <row r="414" spans="1:11" x14ac:dyDescent="0.15">
      <c r="A414" s="14">
        <v>223007</v>
      </c>
      <c r="B414" s="15">
        <v>1</v>
      </c>
      <c r="C414" s="14">
        <v>223008</v>
      </c>
      <c r="D414" s="10" t="str">
        <f>"quest_name_"&amp;表1[[#This Row],[任务ID]]</f>
        <v>quest_name_223007</v>
      </c>
      <c r="E414" s="16" t="str">
        <f>VLOOKUP(表1[[#This Row],[任务名称]],[1]!表1_8[#Data],2,FALSE)</f>
        <v>水族馆内所有鱼总等级达到70</v>
      </c>
      <c r="F414" s="15">
        <v>23</v>
      </c>
      <c r="G414" s="15">
        <v>0</v>
      </c>
      <c r="H414" s="15">
        <v>70</v>
      </c>
      <c r="I414">
        <v>0</v>
      </c>
      <c r="J414" t="s">
        <v>165</v>
      </c>
      <c r="K414" s="2">
        <v>0</v>
      </c>
    </row>
    <row r="415" spans="1:11" x14ac:dyDescent="0.15">
      <c r="A415" s="14">
        <v>223008</v>
      </c>
      <c r="B415" s="15">
        <v>1</v>
      </c>
      <c r="C415" s="14">
        <v>223009</v>
      </c>
      <c r="D415" s="10" t="str">
        <f>"quest_name_"&amp;表1[[#This Row],[任务ID]]</f>
        <v>quest_name_223008</v>
      </c>
      <c r="E415" s="16" t="str">
        <f>VLOOKUP(表1[[#This Row],[任务名称]],[1]!表1_8[#Data],2,FALSE)</f>
        <v>水族馆内所有鱼总等级达到80</v>
      </c>
      <c r="F415" s="15">
        <v>23</v>
      </c>
      <c r="G415" s="15">
        <v>0</v>
      </c>
      <c r="H415" s="15">
        <v>80</v>
      </c>
      <c r="I415">
        <v>0</v>
      </c>
      <c r="J415" t="s">
        <v>166</v>
      </c>
      <c r="K415" s="2">
        <v>0</v>
      </c>
    </row>
    <row r="416" spans="1:11" x14ac:dyDescent="0.15">
      <c r="A416" s="14">
        <v>223009</v>
      </c>
      <c r="B416" s="15">
        <v>1</v>
      </c>
      <c r="C416" s="14">
        <v>223010</v>
      </c>
      <c r="D416" s="10" t="str">
        <f>"quest_name_"&amp;表1[[#This Row],[任务ID]]</f>
        <v>quest_name_223009</v>
      </c>
      <c r="E416" s="16" t="str">
        <f>VLOOKUP(表1[[#This Row],[任务名称]],[1]!表1_8[#Data],2,FALSE)</f>
        <v>水族馆内所有鱼总等级达到90</v>
      </c>
      <c r="F416" s="15">
        <v>23</v>
      </c>
      <c r="G416" s="15">
        <v>0</v>
      </c>
      <c r="H416" s="15">
        <v>90</v>
      </c>
      <c r="I416">
        <v>0</v>
      </c>
      <c r="J416" t="s">
        <v>167</v>
      </c>
      <c r="K416" s="2">
        <v>0</v>
      </c>
    </row>
    <row r="417" spans="1:11" x14ac:dyDescent="0.15">
      <c r="A417" s="14">
        <v>223010</v>
      </c>
      <c r="B417" s="15">
        <v>1</v>
      </c>
      <c r="C417" s="14">
        <v>223011</v>
      </c>
      <c r="D417" s="10" t="str">
        <f>"quest_name_"&amp;表1[[#This Row],[任务ID]]</f>
        <v>quest_name_223010</v>
      </c>
      <c r="E417" s="16" t="str">
        <f>VLOOKUP(表1[[#This Row],[任务名称]],[1]!表1_8[#Data],2,FALSE)</f>
        <v>水族馆内所有鱼总等级达到100</v>
      </c>
      <c r="F417" s="15">
        <v>23</v>
      </c>
      <c r="G417" s="15">
        <v>0</v>
      </c>
      <c r="H417" s="15">
        <v>100</v>
      </c>
      <c r="I417">
        <v>0</v>
      </c>
      <c r="J417" s="7" t="s">
        <v>168</v>
      </c>
      <c r="K417" s="2">
        <v>0</v>
      </c>
    </row>
    <row r="418" spans="1:11" x14ac:dyDescent="0.15">
      <c r="A418" s="14">
        <v>223011</v>
      </c>
      <c r="B418" s="15">
        <v>1</v>
      </c>
      <c r="C418" s="14">
        <v>223012</v>
      </c>
      <c r="D418" s="10" t="str">
        <f>"quest_name_"&amp;表1[[#This Row],[任务ID]]</f>
        <v>quest_name_223011</v>
      </c>
      <c r="E418" s="16" t="str">
        <f>VLOOKUP(表1[[#This Row],[任务名称]],[1]!表1_8[#Data],2,FALSE)</f>
        <v>水族馆内所有鱼总等级达到140</v>
      </c>
      <c r="F418" s="15">
        <v>23</v>
      </c>
      <c r="G418" s="15">
        <v>0</v>
      </c>
      <c r="H418" s="15">
        <v>140</v>
      </c>
      <c r="I418">
        <v>0</v>
      </c>
      <c r="J418" t="s">
        <v>169</v>
      </c>
      <c r="K418" s="2">
        <v>0</v>
      </c>
    </row>
    <row r="419" spans="1:11" x14ac:dyDescent="0.15">
      <c r="A419" s="14">
        <v>223012</v>
      </c>
      <c r="B419" s="15">
        <v>1</v>
      </c>
      <c r="C419" s="14">
        <v>223013</v>
      </c>
      <c r="D419" s="10" t="str">
        <f>"quest_name_"&amp;表1[[#This Row],[任务ID]]</f>
        <v>quest_name_223012</v>
      </c>
      <c r="E419" s="16" t="str">
        <f>VLOOKUP(表1[[#This Row],[任务名称]],[1]!表1_8[#Data],2,FALSE)</f>
        <v>水族馆内所有鱼总等级达到180</v>
      </c>
      <c r="F419" s="15">
        <v>23</v>
      </c>
      <c r="G419" s="15">
        <v>0</v>
      </c>
      <c r="H419" s="15">
        <v>180</v>
      </c>
      <c r="I419">
        <v>0</v>
      </c>
      <c r="J419" t="s">
        <v>170</v>
      </c>
      <c r="K419" s="2">
        <v>0</v>
      </c>
    </row>
    <row r="420" spans="1:11" x14ac:dyDescent="0.15">
      <c r="A420" s="14">
        <v>223013</v>
      </c>
      <c r="B420" s="15">
        <v>1</v>
      </c>
      <c r="C420" s="14">
        <v>223014</v>
      </c>
      <c r="D420" s="10" t="str">
        <f>"quest_name_"&amp;表1[[#This Row],[任务ID]]</f>
        <v>quest_name_223013</v>
      </c>
      <c r="E420" s="16" t="str">
        <f>VLOOKUP(表1[[#This Row],[任务名称]],[1]!表1_8[#Data],2,FALSE)</f>
        <v>水族馆内所有鱼总等级达到200</v>
      </c>
      <c r="F420" s="15">
        <v>23</v>
      </c>
      <c r="G420" s="15">
        <v>0</v>
      </c>
      <c r="H420" s="15">
        <v>200</v>
      </c>
      <c r="I420">
        <v>0</v>
      </c>
      <c r="J420" t="s">
        <v>171</v>
      </c>
      <c r="K420" s="2">
        <v>0</v>
      </c>
    </row>
    <row r="421" spans="1:11" x14ac:dyDescent="0.15">
      <c r="A421" s="14">
        <v>223014</v>
      </c>
      <c r="B421" s="15">
        <v>1</v>
      </c>
      <c r="C421" s="14">
        <v>223015</v>
      </c>
      <c r="D421" s="10" t="str">
        <f>"quest_name_"&amp;表1[[#This Row],[任务ID]]</f>
        <v>quest_name_223014</v>
      </c>
      <c r="E421" s="16" t="str">
        <f>VLOOKUP(表1[[#This Row],[任务名称]],[1]!表1_8[#Data],2,FALSE)</f>
        <v>水族馆内所有鱼总等级达到220</v>
      </c>
      <c r="F421" s="15">
        <v>23</v>
      </c>
      <c r="G421" s="15">
        <v>0</v>
      </c>
      <c r="H421" s="15">
        <v>220</v>
      </c>
      <c r="I421">
        <v>0</v>
      </c>
      <c r="J421" t="s">
        <v>172</v>
      </c>
      <c r="K421" s="2">
        <v>0</v>
      </c>
    </row>
    <row r="422" spans="1:11" x14ac:dyDescent="0.15">
      <c r="A422" s="14">
        <v>223015</v>
      </c>
      <c r="B422" s="15">
        <v>1</v>
      </c>
      <c r="C422" s="14">
        <v>223016</v>
      </c>
      <c r="D422" s="10" t="str">
        <f>"quest_name_"&amp;表1[[#This Row],[任务ID]]</f>
        <v>quest_name_223015</v>
      </c>
      <c r="E422" s="16" t="str">
        <f>VLOOKUP(表1[[#This Row],[任务名称]],[1]!表1_8[#Data],2,FALSE)</f>
        <v>水族馆内所有鱼总等级达到240</v>
      </c>
      <c r="F422" s="15">
        <v>23</v>
      </c>
      <c r="G422" s="15">
        <v>0</v>
      </c>
      <c r="H422" s="15">
        <v>240</v>
      </c>
      <c r="I422">
        <v>0</v>
      </c>
      <c r="J422" t="s">
        <v>173</v>
      </c>
      <c r="K422" s="2">
        <v>0</v>
      </c>
    </row>
    <row r="423" spans="1:11" x14ac:dyDescent="0.15">
      <c r="A423" s="14">
        <v>223016</v>
      </c>
      <c r="B423" s="15">
        <v>1</v>
      </c>
      <c r="C423" s="14">
        <v>223017</v>
      </c>
      <c r="D423" s="10" t="str">
        <f>"quest_name_"&amp;表1[[#This Row],[任务ID]]</f>
        <v>quest_name_223016</v>
      </c>
      <c r="E423" s="16" t="str">
        <f>VLOOKUP(表1[[#This Row],[任务名称]],[1]!表1_8[#Data],2,FALSE)</f>
        <v>水族馆内所有鱼总等级达到260</v>
      </c>
      <c r="F423" s="15">
        <v>23</v>
      </c>
      <c r="G423" s="15">
        <v>0</v>
      </c>
      <c r="H423" s="15">
        <v>260</v>
      </c>
      <c r="I423">
        <v>0</v>
      </c>
      <c r="J423" t="s">
        <v>174</v>
      </c>
      <c r="K423" s="2">
        <v>0</v>
      </c>
    </row>
    <row r="424" spans="1:11" x14ac:dyDescent="0.15">
      <c r="A424" s="14">
        <v>223017</v>
      </c>
      <c r="B424" s="15">
        <v>1</v>
      </c>
      <c r="C424" s="14">
        <v>223018</v>
      </c>
      <c r="D424" s="10" t="str">
        <f>"quest_name_"&amp;表1[[#This Row],[任务ID]]</f>
        <v>quest_name_223017</v>
      </c>
      <c r="E424" s="16" t="str">
        <f>VLOOKUP(表1[[#This Row],[任务名称]],[1]!表1_8[#Data],2,FALSE)</f>
        <v>水族馆内所有鱼总等级达到280</v>
      </c>
      <c r="F424" s="15">
        <v>23</v>
      </c>
      <c r="G424" s="15">
        <v>0</v>
      </c>
      <c r="H424" s="15">
        <v>280</v>
      </c>
      <c r="I424">
        <v>0</v>
      </c>
      <c r="J424" t="s">
        <v>175</v>
      </c>
      <c r="K424" s="2">
        <v>0</v>
      </c>
    </row>
    <row r="425" spans="1:11" x14ac:dyDescent="0.15">
      <c r="A425" s="14">
        <v>223018</v>
      </c>
      <c r="B425" s="15">
        <v>1</v>
      </c>
      <c r="C425" s="14">
        <v>223019</v>
      </c>
      <c r="D425" s="10" t="str">
        <f>"quest_name_"&amp;表1[[#This Row],[任务ID]]</f>
        <v>quest_name_223018</v>
      </c>
      <c r="E425" s="16" t="str">
        <f>VLOOKUP(表1[[#This Row],[任务名称]],[1]!表1_8[#Data],2,FALSE)</f>
        <v>水族馆内所有鱼总等级达到300</v>
      </c>
      <c r="F425" s="15">
        <v>23</v>
      </c>
      <c r="G425" s="15">
        <v>0</v>
      </c>
      <c r="H425" s="15">
        <v>300</v>
      </c>
      <c r="I425">
        <v>0</v>
      </c>
      <c r="J425" t="s">
        <v>176</v>
      </c>
      <c r="K425" s="2">
        <v>0</v>
      </c>
    </row>
    <row r="426" spans="1:11" x14ac:dyDescent="0.15">
      <c r="A426" s="14">
        <v>223019</v>
      </c>
      <c r="B426" s="15">
        <v>1</v>
      </c>
      <c r="C426" s="14">
        <v>223020</v>
      </c>
      <c r="D426" s="10" t="str">
        <f>"quest_name_"&amp;表1[[#This Row],[任务ID]]</f>
        <v>quest_name_223019</v>
      </c>
      <c r="E426" s="16" t="str">
        <f>VLOOKUP(表1[[#This Row],[任务名称]],[1]!表1_8[#Data],2,FALSE)</f>
        <v>水族馆内所有鱼总等级达到330</v>
      </c>
      <c r="F426" s="15">
        <v>23</v>
      </c>
      <c r="G426" s="15">
        <v>0</v>
      </c>
      <c r="H426" s="15">
        <v>330</v>
      </c>
      <c r="I426">
        <v>0</v>
      </c>
      <c r="J426" t="s">
        <v>177</v>
      </c>
      <c r="K426" s="2">
        <v>0</v>
      </c>
    </row>
    <row r="427" spans="1:11" x14ac:dyDescent="0.15">
      <c r="A427" s="14">
        <v>223020</v>
      </c>
      <c r="B427" s="15">
        <v>1</v>
      </c>
      <c r="C427" s="14">
        <v>0</v>
      </c>
      <c r="D427" s="10" t="str">
        <f>"quest_name_"&amp;表1[[#This Row],[任务ID]]</f>
        <v>quest_name_223020</v>
      </c>
      <c r="E427" s="16" t="str">
        <f>VLOOKUP(表1[[#This Row],[任务名称]],[1]!表1_8[#Data],2,FALSE)</f>
        <v>水族馆内所有鱼总等级达到360</v>
      </c>
      <c r="F427" s="15">
        <v>23</v>
      </c>
      <c r="G427" s="15">
        <v>0</v>
      </c>
      <c r="H427" s="15">
        <v>360</v>
      </c>
      <c r="I427">
        <v>0</v>
      </c>
      <c r="J427" t="s">
        <v>291</v>
      </c>
      <c r="K427" s="2">
        <v>0</v>
      </c>
    </row>
    <row r="428" spans="1:11" x14ac:dyDescent="0.15">
      <c r="A428" s="14">
        <v>224000</v>
      </c>
      <c r="B428" s="15">
        <v>1</v>
      </c>
      <c r="C428" s="14">
        <v>224001</v>
      </c>
      <c r="D428" s="10" t="str">
        <f>"quest_name_"&amp;表1[[#This Row],[任务ID]]</f>
        <v>quest_name_224000</v>
      </c>
      <c r="E428" s="16" t="str">
        <f>VLOOKUP(表1[[#This Row],[任务名称]],[1]!表1_8[#Data],2,FALSE)</f>
        <v>解锁1个女神</v>
      </c>
      <c r="F428" s="15">
        <v>24</v>
      </c>
      <c r="G428" s="15">
        <v>0</v>
      </c>
      <c r="H428" s="15">
        <v>1</v>
      </c>
      <c r="I428">
        <v>0</v>
      </c>
      <c r="J428" t="s">
        <v>243</v>
      </c>
      <c r="K428" s="2">
        <v>0</v>
      </c>
    </row>
    <row r="429" spans="1:11" x14ac:dyDescent="0.15">
      <c r="A429" s="14">
        <v>224001</v>
      </c>
      <c r="B429" s="15">
        <v>1</v>
      </c>
      <c r="C429" s="14">
        <v>224002</v>
      </c>
      <c r="D429" s="10" t="str">
        <f>"quest_name_"&amp;表1[[#This Row],[任务ID]]</f>
        <v>quest_name_224001</v>
      </c>
      <c r="E429" s="16" t="str">
        <f>VLOOKUP(表1[[#This Row],[任务名称]],[1]!表1_8[#Data],2,FALSE)</f>
        <v>解锁2个女神</v>
      </c>
      <c r="F429" s="15">
        <v>24</v>
      </c>
      <c r="G429" s="15">
        <v>0</v>
      </c>
      <c r="H429" s="15">
        <v>2</v>
      </c>
      <c r="I429">
        <v>0</v>
      </c>
      <c r="J429" s="7" t="s">
        <v>297</v>
      </c>
      <c r="K429" s="2">
        <v>0</v>
      </c>
    </row>
    <row r="430" spans="1:11" x14ac:dyDescent="0.15">
      <c r="A430" s="14">
        <v>224002</v>
      </c>
      <c r="B430" s="15">
        <v>1</v>
      </c>
      <c r="C430" s="14">
        <v>224003</v>
      </c>
      <c r="D430" s="10" t="str">
        <f>"quest_name_"&amp;表1[[#This Row],[任务ID]]</f>
        <v>quest_name_224002</v>
      </c>
      <c r="E430" s="16" t="str">
        <f>VLOOKUP(表1[[#This Row],[任务名称]],[1]!表1_8[#Data],2,FALSE)</f>
        <v>解锁3个女神</v>
      </c>
      <c r="F430" s="15">
        <v>24</v>
      </c>
      <c r="G430" s="15">
        <v>0</v>
      </c>
      <c r="H430" s="15">
        <v>3</v>
      </c>
      <c r="I430">
        <v>0</v>
      </c>
      <c r="J430" s="7" t="s">
        <v>298</v>
      </c>
      <c r="K430" s="2">
        <v>0</v>
      </c>
    </row>
    <row r="431" spans="1:11" x14ac:dyDescent="0.15">
      <c r="A431" s="14">
        <v>224003</v>
      </c>
      <c r="B431" s="15">
        <v>1</v>
      </c>
      <c r="C431" s="14">
        <v>224004</v>
      </c>
      <c r="D431" s="10" t="str">
        <f>"quest_name_"&amp;表1[[#This Row],[任务ID]]</f>
        <v>quest_name_224003</v>
      </c>
      <c r="E431" s="16" t="str">
        <f>VLOOKUP(表1[[#This Row],[任务名称]],[1]!表1_8[#Data],2,FALSE)</f>
        <v>解锁4个女神</v>
      </c>
      <c r="F431" s="15">
        <v>24</v>
      </c>
      <c r="G431" s="15">
        <v>0</v>
      </c>
      <c r="H431" s="15">
        <v>4</v>
      </c>
      <c r="I431">
        <v>0</v>
      </c>
      <c r="J431" s="7" t="s">
        <v>299</v>
      </c>
      <c r="K431" s="2">
        <v>0</v>
      </c>
    </row>
    <row r="432" spans="1:11" x14ac:dyDescent="0.15">
      <c r="A432" s="14">
        <v>224004</v>
      </c>
      <c r="B432" s="15">
        <v>1</v>
      </c>
      <c r="C432" s="14">
        <v>0</v>
      </c>
      <c r="D432" s="10" t="str">
        <f>"quest_name_"&amp;表1[[#This Row],[任务ID]]</f>
        <v>quest_name_224004</v>
      </c>
      <c r="E432" s="16" t="str">
        <f>VLOOKUP(表1[[#This Row],[任务名称]],[1]!表1_8[#Data],2,FALSE)</f>
        <v>解锁5个女神</v>
      </c>
      <c r="F432" s="15">
        <v>24</v>
      </c>
      <c r="G432" s="15">
        <v>0</v>
      </c>
      <c r="H432" s="15">
        <v>5</v>
      </c>
      <c r="I432">
        <v>0</v>
      </c>
      <c r="J432" t="s">
        <v>300</v>
      </c>
      <c r="K432" s="2">
        <v>0</v>
      </c>
    </row>
    <row r="433" spans="1:11" x14ac:dyDescent="0.15">
      <c r="A433" s="14">
        <v>225000</v>
      </c>
      <c r="B433" s="15">
        <v>1</v>
      </c>
      <c r="C433" s="14">
        <v>225001</v>
      </c>
      <c r="D433" s="10" t="str">
        <f>"quest_name_"&amp;表1[[#This Row],[任务ID]]</f>
        <v>quest_name_225000</v>
      </c>
      <c r="E433" s="16" t="str">
        <f>VLOOKUP(表1[[#This Row],[任务名称]],[1]!表1_8[#Data],2,FALSE)</f>
        <v>在接金币小游戏中获得6000分</v>
      </c>
      <c r="F433" s="15">
        <v>25</v>
      </c>
      <c r="G433" s="15">
        <v>0</v>
      </c>
      <c r="H433" s="9">
        <v>6000</v>
      </c>
      <c r="I433">
        <v>0</v>
      </c>
      <c r="J433" s="7" t="s">
        <v>227</v>
      </c>
      <c r="K433" s="2">
        <v>0</v>
      </c>
    </row>
    <row r="434" spans="1:11" x14ac:dyDescent="0.15">
      <c r="A434" s="14">
        <v>225001</v>
      </c>
      <c r="B434" s="15">
        <v>1</v>
      </c>
      <c r="C434" s="14">
        <v>225002</v>
      </c>
      <c r="D434" s="10" t="str">
        <f>"quest_name_"&amp;表1[[#This Row],[任务ID]]</f>
        <v>quest_name_225001</v>
      </c>
      <c r="E434" s="16" t="str">
        <f>VLOOKUP(表1[[#This Row],[任务名称]],[1]!表1_8[#Data],2,FALSE)</f>
        <v>在接金币小游戏中获得8000分</v>
      </c>
      <c r="F434" s="15">
        <v>25</v>
      </c>
      <c r="G434" s="15">
        <v>0</v>
      </c>
      <c r="H434" s="9">
        <v>8000</v>
      </c>
      <c r="I434">
        <v>0</v>
      </c>
      <c r="J434" s="7" t="s">
        <v>178</v>
      </c>
      <c r="K434" s="2">
        <v>0</v>
      </c>
    </row>
    <row r="435" spans="1:11" x14ac:dyDescent="0.15">
      <c r="A435" s="14">
        <v>225002</v>
      </c>
      <c r="B435" s="15">
        <v>1</v>
      </c>
      <c r="C435" s="14">
        <v>225003</v>
      </c>
      <c r="D435" s="10" t="str">
        <f>"quest_name_"&amp;表1[[#This Row],[任务ID]]</f>
        <v>quest_name_225002</v>
      </c>
      <c r="E435" s="16" t="str">
        <f>VLOOKUP(表1[[#This Row],[任务名称]],[1]!表1_8[#Data],2,FALSE)</f>
        <v>在接金币小游戏中获得10000分</v>
      </c>
      <c r="F435" s="15">
        <v>25</v>
      </c>
      <c r="G435" s="15">
        <v>0</v>
      </c>
      <c r="H435" s="9">
        <v>10000</v>
      </c>
      <c r="I435">
        <v>0</v>
      </c>
      <c r="J435" s="7" t="s">
        <v>188</v>
      </c>
      <c r="K435" s="2">
        <v>0</v>
      </c>
    </row>
    <row r="436" spans="1:11" x14ac:dyDescent="0.15">
      <c r="A436" s="14">
        <v>225003</v>
      </c>
      <c r="B436" s="15">
        <v>1</v>
      </c>
      <c r="C436" s="14">
        <v>225004</v>
      </c>
      <c r="D436" s="10" t="str">
        <f>"quest_name_"&amp;表1[[#This Row],[任务ID]]</f>
        <v>quest_name_225003</v>
      </c>
      <c r="E436" s="16" t="str">
        <f>VLOOKUP(表1[[#This Row],[任务名称]],[1]!表1_8[#Data],2,FALSE)</f>
        <v>在接金币小游戏中获得12000分</v>
      </c>
      <c r="F436" s="15">
        <v>25</v>
      </c>
      <c r="G436" s="15">
        <v>0</v>
      </c>
      <c r="H436" s="9">
        <v>12000</v>
      </c>
      <c r="I436">
        <v>0</v>
      </c>
      <c r="J436" s="7" t="s">
        <v>179</v>
      </c>
      <c r="K436" s="2">
        <v>0</v>
      </c>
    </row>
    <row r="437" spans="1:11" x14ac:dyDescent="0.15">
      <c r="A437" s="14">
        <v>225004</v>
      </c>
      <c r="B437" s="15">
        <v>1</v>
      </c>
      <c r="C437" s="14">
        <v>225005</v>
      </c>
      <c r="D437" s="10" t="str">
        <f>"quest_name_"&amp;表1[[#This Row],[任务ID]]</f>
        <v>quest_name_225004</v>
      </c>
      <c r="E437" s="16" t="str">
        <f>VLOOKUP(表1[[#This Row],[任务名称]],[1]!表1_8[#Data],2,FALSE)</f>
        <v>在接金币小游戏中获得13000分</v>
      </c>
      <c r="F437" s="15">
        <v>25</v>
      </c>
      <c r="G437" s="15">
        <v>0</v>
      </c>
      <c r="H437" s="9">
        <v>13000</v>
      </c>
      <c r="I437">
        <v>0</v>
      </c>
      <c r="J437" s="7" t="s">
        <v>228</v>
      </c>
      <c r="K437" s="2">
        <v>0</v>
      </c>
    </row>
    <row r="438" spans="1:11" x14ac:dyDescent="0.15">
      <c r="A438" s="14">
        <v>225005</v>
      </c>
      <c r="B438" s="15">
        <v>1</v>
      </c>
      <c r="C438" s="14">
        <v>225006</v>
      </c>
      <c r="D438" s="10" t="str">
        <f>"quest_name_"&amp;表1[[#This Row],[任务ID]]</f>
        <v>quest_name_225005</v>
      </c>
      <c r="E438" s="16" t="str">
        <f>VLOOKUP(表1[[#This Row],[任务名称]],[1]!表1_8[#Data],2,FALSE)</f>
        <v>在接金币小游戏中获得14000分</v>
      </c>
      <c r="F438" s="15">
        <v>25</v>
      </c>
      <c r="G438" s="15">
        <v>0</v>
      </c>
      <c r="H438" s="9">
        <v>14000</v>
      </c>
      <c r="I438">
        <v>0</v>
      </c>
      <c r="J438" s="7" t="s">
        <v>180</v>
      </c>
      <c r="K438" s="2">
        <v>0</v>
      </c>
    </row>
    <row r="439" spans="1:11" x14ac:dyDescent="0.15">
      <c r="A439" s="14">
        <v>225006</v>
      </c>
      <c r="B439" s="15">
        <v>1</v>
      </c>
      <c r="C439" s="14">
        <v>225007</v>
      </c>
      <c r="D439" s="10" t="str">
        <f>"quest_name_"&amp;表1[[#This Row],[任务ID]]</f>
        <v>quest_name_225006</v>
      </c>
      <c r="E439" s="16" t="str">
        <f>VLOOKUP(表1[[#This Row],[任务名称]],[1]!表1_8[#Data],2,FALSE)</f>
        <v>在接金币小游戏中获得15000分</v>
      </c>
      <c r="F439" s="15">
        <v>25</v>
      </c>
      <c r="G439" s="15">
        <v>0</v>
      </c>
      <c r="H439" s="9">
        <v>15000</v>
      </c>
      <c r="I439">
        <v>0</v>
      </c>
      <c r="J439" s="7" t="s">
        <v>229</v>
      </c>
      <c r="K439" s="2">
        <v>0</v>
      </c>
    </row>
    <row r="440" spans="1:11" x14ac:dyDescent="0.15">
      <c r="A440" s="14">
        <v>225007</v>
      </c>
      <c r="B440" s="15">
        <v>1</v>
      </c>
      <c r="C440" s="14">
        <v>225008</v>
      </c>
      <c r="D440" s="10" t="str">
        <f>"quest_name_"&amp;表1[[#This Row],[任务ID]]</f>
        <v>quest_name_225007</v>
      </c>
      <c r="E440" s="16" t="str">
        <f>VLOOKUP(表1[[#This Row],[任务名称]],[1]!表1_8[#Data],2,FALSE)</f>
        <v>在接金币小游戏中获得16000分</v>
      </c>
      <c r="F440" s="15">
        <v>25</v>
      </c>
      <c r="G440" s="15">
        <v>0</v>
      </c>
      <c r="H440" s="9">
        <v>16000</v>
      </c>
      <c r="I440">
        <v>0</v>
      </c>
      <c r="J440" s="7" t="s">
        <v>181</v>
      </c>
      <c r="K440" s="2">
        <v>0</v>
      </c>
    </row>
    <row r="441" spans="1:11" x14ac:dyDescent="0.15">
      <c r="A441" s="14">
        <v>225008</v>
      </c>
      <c r="B441" s="15">
        <v>1</v>
      </c>
      <c r="C441" s="14">
        <v>225009</v>
      </c>
      <c r="D441" s="10" t="str">
        <f>"quest_name_"&amp;表1[[#This Row],[任务ID]]</f>
        <v>quest_name_225008</v>
      </c>
      <c r="E441" s="16" t="str">
        <f>VLOOKUP(表1[[#This Row],[任务名称]],[1]!表1_8[#Data],2,FALSE)</f>
        <v>在接金币小游戏中获得17000分</v>
      </c>
      <c r="F441" s="15">
        <v>25</v>
      </c>
      <c r="G441" s="15">
        <v>0</v>
      </c>
      <c r="H441" s="9">
        <v>17000</v>
      </c>
      <c r="I441">
        <v>0</v>
      </c>
      <c r="J441" t="s">
        <v>189</v>
      </c>
      <c r="K441" s="2">
        <v>0</v>
      </c>
    </row>
    <row r="442" spans="1:11" x14ac:dyDescent="0.15">
      <c r="A442" s="14">
        <v>225009</v>
      </c>
      <c r="B442" s="15">
        <v>1</v>
      </c>
      <c r="C442" s="14">
        <v>225010</v>
      </c>
      <c r="D442" s="10" t="str">
        <f>"quest_name_"&amp;表1[[#This Row],[任务ID]]</f>
        <v>quest_name_225009</v>
      </c>
      <c r="E442" s="16" t="str">
        <f>VLOOKUP(表1[[#This Row],[任务名称]],[1]!表1_8[#Data],2,FALSE)</f>
        <v>在接金币小游戏中获得18000分</v>
      </c>
      <c r="F442" s="15">
        <v>25</v>
      </c>
      <c r="G442" s="15">
        <v>0</v>
      </c>
      <c r="H442" s="9">
        <v>18000</v>
      </c>
      <c r="I442">
        <v>0</v>
      </c>
      <c r="J442" t="s">
        <v>47</v>
      </c>
      <c r="K442" s="2">
        <v>0</v>
      </c>
    </row>
    <row r="443" spans="1:11" x14ac:dyDescent="0.15">
      <c r="A443" s="14">
        <v>225010</v>
      </c>
      <c r="B443" s="15">
        <v>1</v>
      </c>
      <c r="C443" s="14">
        <v>225011</v>
      </c>
      <c r="D443" s="10" t="str">
        <f>"quest_name_"&amp;表1[[#This Row],[任务ID]]</f>
        <v>quest_name_225010</v>
      </c>
      <c r="E443" s="16" t="str">
        <f>VLOOKUP(表1[[#This Row],[任务名称]],[1]!表1_8[#Data],2,FALSE)</f>
        <v>在接金币小游戏中获得19000分</v>
      </c>
      <c r="F443" s="15">
        <v>25</v>
      </c>
      <c r="G443" s="15">
        <v>0</v>
      </c>
      <c r="H443" s="9">
        <v>19000</v>
      </c>
      <c r="I443">
        <v>0</v>
      </c>
      <c r="J443" t="s">
        <v>230</v>
      </c>
      <c r="K443" s="2">
        <v>0</v>
      </c>
    </row>
    <row r="444" spans="1:11" x14ac:dyDescent="0.15">
      <c r="A444" s="14">
        <v>225011</v>
      </c>
      <c r="B444" s="15">
        <v>1</v>
      </c>
      <c r="C444" s="14">
        <v>225012</v>
      </c>
      <c r="D444" s="10" t="str">
        <f>"quest_name_"&amp;表1[[#This Row],[任务ID]]</f>
        <v>quest_name_225011</v>
      </c>
      <c r="E444" s="16" t="str">
        <f>VLOOKUP(表1[[#This Row],[任务名称]],[1]!表1_8[#Data],2,FALSE)</f>
        <v>在接金币小游戏中获得20000分</v>
      </c>
      <c r="F444" s="15">
        <v>25</v>
      </c>
      <c r="G444" s="15">
        <v>0</v>
      </c>
      <c r="H444" s="9">
        <v>20000</v>
      </c>
      <c r="I444">
        <v>0</v>
      </c>
      <c r="J444" t="s">
        <v>182</v>
      </c>
      <c r="K444" s="2">
        <v>0</v>
      </c>
    </row>
    <row r="445" spans="1:11" x14ac:dyDescent="0.15">
      <c r="A445" s="14">
        <v>225012</v>
      </c>
      <c r="B445" s="15">
        <v>1</v>
      </c>
      <c r="C445" s="14">
        <v>225013</v>
      </c>
      <c r="D445" s="10" t="str">
        <f>"quest_name_"&amp;表1[[#This Row],[任务ID]]</f>
        <v>quest_name_225012</v>
      </c>
      <c r="E445" s="16" t="str">
        <f>VLOOKUP(表1[[#This Row],[任务名称]],[1]!表1_8[#Data],2,FALSE)</f>
        <v>在接金币小游戏中获得21000分</v>
      </c>
      <c r="F445" s="15">
        <v>25</v>
      </c>
      <c r="G445" s="15">
        <v>0</v>
      </c>
      <c r="H445" s="9">
        <v>21000</v>
      </c>
      <c r="I445">
        <v>0</v>
      </c>
      <c r="J445" t="s">
        <v>231</v>
      </c>
      <c r="K445" s="2">
        <v>0</v>
      </c>
    </row>
    <row r="446" spans="1:11" x14ac:dyDescent="0.15">
      <c r="A446" s="14">
        <v>225013</v>
      </c>
      <c r="B446" s="15">
        <v>1</v>
      </c>
      <c r="C446" s="14">
        <v>225014</v>
      </c>
      <c r="D446" s="10" t="str">
        <f>"quest_name_"&amp;表1[[#This Row],[任务ID]]</f>
        <v>quest_name_225013</v>
      </c>
      <c r="E446" s="16" t="str">
        <f>VLOOKUP(表1[[#This Row],[任务名称]],[1]!表1_8[#Data],2,FALSE)</f>
        <v>在接金币小游戏中获得22000分</v>
      </c>
      <c r="F446" s="15">
        <v>25</v>
      </c>
      <c r="G446" s="15">
        <v>0</v>
      </c>
      <c r="H446" s="9">
        <v>22000</v>
      </c>
      <c r="I446">
        <v>0</v>
      </c>
      <c r="J446" t="s">
        <v>183</v>
      </c>
      <c r="K446" s="2">
        <v>0</v>
      </c>
    </row>
    <row r="447" spans="1:11" x14ac:dyDescent="0.15">
      <c r="A447" s="14">
        <v>225014</v>
      </c>
      <c r="B447" s="15">
        <v>1</v>
      </c>
      <c r="C447" s="14">
        <v>225015</v>
      </c>
      <c r="D447" s="10" t="str">
        <f>"quest_name_"&amp;表1[[#This Row],[任务ID]]</f>
        <v>quest_name_225014</v>
      </c>
      <c r="E447" s="16" t="str">
        <f>VLOOKUP(表1[[#This Row],[任务名称]],[1]!表1_8[#Data],2,FALSE)</f>
        <v>在接金币小游戏中获得23000分</v>
      </c>
      <c r="F447" s="15">
        <v>25</v>
      </c>
      <c r="G447" s="15">
        <v>0</v>
      </c>
      <c r="H447" s="9">
        <v>23000</v>
      </c>
      <c r="I447">
        <v>0</v>
      </c>
      <c r="J447" s="7" t="s">
        <v>190</v>
      </c>
      <c r="K447" s="2">
        <v>0</v>
      </c>
    </row>
    <row r="448" spans="1:11" x14ac:dyDescent="0.15">
      <c r="A448" s="14">
        <v>225015</v>
      </c>
      <c r="B448" s="15">
        <v>1</v>
      </c>
      <c r="C448" s="14">
        <v>225016</v>
      </c>
      <c r="D448" s="10" t="str">
        <f>"quest_name_"&amp;表1[[#This Row],[任务ID]]</f>
        <v>quest_name_225015</v>
      </c>
      <c r="E448" s="16" t="str">
        <f>VLOOKUP(表1[[#This Row],[任务名称]],[1]!表1_8[#Data],2,FALSE)</f>
        <v>在接金币小游戏中获得24000分</v>
      </c>
      <c r="F448" s="15">
        <v>25</v>
      </c>
      <c r="G448" s="15">
        <v>0</v>
      </c>
      <c r="H448" s="9">
        <v>24000</v>
      </c>
      <c r="I448">
        <v>0</v>
      </c>
      <c r="J448" t="s">
        <v>184</v>
      </c>
      <c r="K448" s="2">
        <v>0</v>
      </c>
    </row>
    <row r="449" spans="1:11" x14ac:dyDescent="0.15">
      <c r="A449" s="14">
        <v>225016</v>
      </c>
      <c r="B449" s="15">
        <v>1</v>
      </c>
      <c r="C449" s="14">
        <v>225017</v>
      </c>
      <c r="D449" s="10" t="str">
        <f>"quest_name_"&amp;表1[[#This Row],[任务ID]]</f>
        <v>quest_name_225016</v>
      </c>
      <c r="E449" s="16" t="str">
        <f>VLOOKUP(表1[[#This Row],[任务名称]],[1]!表1_8[#Data],2,FALSE)</f>
        <v>在接金币小游戏中获得25000分</v>
      </c>
      <c r="F449" s="15">
        <v>25</v>
      </c>
      <c r="G449" s="15">
        <v>0</v>
      </c>
      <c r="H449" s="9">
        <v>25000</v>
      </c>
      <c r="I449">
        <v>0</v>
      </c>
      <c r="J449" t="s">
        <v>232</v>
      </c>
      <c r="K449" s="2">
        <v>0</v>
      </c>
    </row>
    <row r="450" spans="1:11" x14ac:dyDescent="0.15">
      <c r="A450" s="14">
        <v>225017</v>
      </c>
      <c r="B450" s="15">
        <v>1</v>
      </c>
      <c r="C450" s="14">
        <v>225018</v>
      </c>
      <c r="D450" s="10" t="str">
        <f>"quest_name_"&amp;表1[[#This Row],[任务ID]]</f>
        <v>quest_name_225017</v>
      </c>
      <c r="E450" s="16" t="str">
        <f>VLOOKUP(表1[[#This Row],[任务名称]],[1]!表1_8[#Data],2,FALSE)</f>
        <v>在接金币小游戏中获得26000分</v>
      </c>
      <c r="F450" s="15">
        <v>25</v>
      </c>
      <c r="G450" s="15">
        <v>0</v>
      </c>
      <c r="H450" s="9">
        <v>26000</v>
      </c>
      <c r="I450">
        <v>0</v>
      </c>
      <c r="J450" t="s">
        <v>185</v>
      </c>
      <c r="K450" s="2">
        <v>0</v>
      </c>
    </row>
    <row r="451" spans="1:11" x14ac:dyDescent="0.15">
      <c r="A451" s="14">
        <v>225018</v>
      </c>
      <c r="B451" s="15">
        <v>1</v>
      </c>
      <c r="C451" s="14">
        <v>225019</v>
      </c>
      <c r="D451" s="10" t="str">
        <f>"quest_name_"&amp;表1[[#This Row],[任务ID]]</f>
        <v>quest_name_225018</v>
      </c>
      <c r="E451" s="16" t="str">
        <f>VLOOKUP(表1[[#This Row],[任务名称]],[1]!表1_8[#Data],2,FALSE)</f>
        <v>在接金币小游戏中获得28000分</v>
      </c>
      <c r="F451" s="15">
        <v>25</v>
      </c>
      <c r="G451" s="15">
        <v>0</v>
      </c>
      <c r="H451" s="9">
        <v>28000</v>
      </c>
      <c r="I451">
        <v>0</v>
      </c>
      <c r="J451" t="s">
        <v>292</v>
      </c>
      <c r="K451" s="2">
        <v>0</v>
      </c>
    </row>
    <row r="452" spans="1:11" x14ac:dyDescent="0.15">
      <c r="A452" s="14">
        <v>225019</v>
      </c>
      <c r="B452" s="15">
        <v>1</v>
      </c>
      <c r="C452" s="14">
        <v>0</v>
      </c>
      <c r="D452" s="10" t="str">
        <f>"quest_name_"&amp;表1[[#This Row],[任务ID]]</f>
        <v>quest_name_225019</v>
      </c>
      <c r="E452" s="16" t="str">
        <f>VLOOKUP(表1[[#This Row],[任务名称]],[1]!表1_8[#Data],2,FALSE)</f>
        <v>在接金币小游戏中获得30000分</v>
      </c>
      <c r="F452" s="15">
        <v>25</v>
      </c>
      <c r="G452" s="15">
        <v>0</v>
      </c>
      <c r="H452" s="9">
        <v>30000</v>
      </c>
      <c r="I452">
        <v>0</v>
      </c>
      <c r="J452" t="s">
        <v>186</v>
      </c>
      <c r="K452" s="2">
        <v>0</v>
      </c>
    </row>
    <row r="453" spans="1:11" x14ac:dyDescent="0.15">
      <c r="A453" s="14">
        <v>225100</v>
      </c>
      <c r="B453" s="15">
        <v>1</v>
      </c>
      <c r="C453" s="14">
        <v>225101</v>
      </c>
      <c r="D453" s="10" t="str">
        <f>"quest_name_"&amp;表1[[#This Row],[任务ID]]</f>
        <v>quest_name_225100</v>
      </c>
      <c r="E453" s="16" t="str">
        <f>VLOOKUP(表1[[#This Row],[任务名称]],[1]!表1_8[#Data],2,FALSE)</f>
        <v>在打河豚小游戏中获得5000分</v>
      </c>
      <c r="F453" s="15">
        <v>25</v>
      </c>
      <c r="G453" s="15">
        <v>1</v>
      </c>
      <c r="H453" s="15">
        <v>5000</v>
      </c>
      <c r="I453">
        <v>0</v>
      </c>
      <c r="J453" t="s">
        <v>178</v>
      </c>
      <c r="K453" s="2">
        <v>0</v>
      </c>
    </row>
    <row r="454" spans="1:11" x14ac:dyDescent="0.15">
      <c r="A454" s="14">
        <v>225101</v>
      </c>
      <c r="B454" s="15">
        <v>1</v>
      </c>
      <c r="C454" s="14">
        <v>225102</v>
      </c>
      <c r="D454" s="10" t="str">
        <f>"quest_name_"&amp;表1[[#This Row],[任务ID]]</f>
        <v>quest_name_225101</v>
      </c>
      <c r="E454" s="16" t="str">
        <f>VLOOKUP(表1[[#This Row],[任务名称]],[1]!表1_8[#Data],2,FALSE)</f>
        <v>在打河豚小游戏中获得6000分</v>
      </c>
      <c r="F454" s="15">
        <v>25</v>
      </c>
      <c r="G454" s="15">
        <v>1</v>
      </c>
      <c r="H454" s="15">
        <v>6000</v>
      </c>
      <c r="I454">
        <v>0</v>
      </c>
      <c r="J454" t="s">
        <v>179</v>
      </c>
      <c r="K454" s="2">
        <v>0</v>
      </c>
    </row>
    <row r="455" spans="1:11" x14ac:dyDescent="0.15">
      <c r="A455" s="14">
        <v>225102</v>
      </c>
      <c r="B455" s="15">
        <v>1</v>
      </c>
      <c r="C455" s="14">
        <v>225103</v>
      </c>
      <c r="D455" s="10" t="str">
        <f>"quest_name_"&amp;表1[[#This Row],[任务ID]]</f>
        <v>quest_name_225102</v>
      </c>
      <c r="E455" s="16" t="str">
        <f>VLOOKUP(表1[[#This Row],[任务名称]],[1]!表1_8[#Data],2,FALSE)</f>
        <v>在打河豚小游戏中获得7000分</v>
      </c>
      <c r="F455" s="15">
        <v>25</v>
      </c>
      <c r="G455" s="15">
        <v>1</v>
      </c>
      <c r="H455" s="15">
        <v>7000</v>
      </c>
      <c r="I455">
        <v>0</v>
      </c>
      <c r="J455" t="s">
        <v>180</v>
      </c>
      <c r="K455" s="2">
        <v>0</v>
      </c>
    </row>
    <row r="456" spans="1:11" x14ac:dyDescent="0.15">
      <c r="A456" s="14">
        <v>225103</v>
      </c>
      <c r="B456" s="15">
        <v>1</v>
      </c>
      <c r="C456" s="14">
        <v>225104</v>
      </c>
      <c r="D456" s="10" t="str">
        <f>"quest_name_"&amp;表1[[#This Row],[任务ID]]</f>
        <v>quest_name_225103</v>
      </c>
      <c r="E456" s="16" t="str">
        <f>VLOOKUP(表1[[#This Row],[任务名称]],[1]!表1_8[#Data],2,FALSE)</f>
        <v>在打河豚小游戏中获得8000分</v>
      </c>
      <c r="F456" s="15">
        <v>25</v>
      </c>
      <c r="G456" s="15">
        <v>1</v>
      </c>
      <c r="H456" s="15">
        <v>8000</v>
      </c>
      <c r="I456">
        <v>0</v>
      </c>
      <c r="J456" t="s">
        <v>181</v>
      </c>
      <c r="K456" s="2">
        <v>0</v>
      </c>
    </row>
    <row r="457" spans="1:11" x14ac:dyDescent="0.15">
      <c r="A457" s="14">
        <v>225104</v>
      </c>
      <c r="B457" s="15">
        <v>1</v>
      </c>
      <c r="C457" s="14">
        <v>225105</v>
      </c>
      <c r="D457" s="10" t="str">
        <f>"quest_name_"&amp;表1[[#This Row],[任务ID]]</f>
        <v>quest_name_225104</v>
      </c>
      <c r="E457" s="16" t="str">
        <f>VLOOKUP(表1[[#This Row],[任务名称]],[1]!表1_8[#Data],2,FALSE)</f>
        <v>在打河豚小游戏中获得9000分</v>
      </c>
      <c r="F457" s="15">
        <v>25</v>
      </c>
      <c r="G457" s="15">
        <v>1</v>
      </c>
      <c r="H457" s="15">
        <v>9000</v>
      </c>
      <c r="I457">
        <v>0</v>
      </c>
      <c r="J457" t="s">
        <v>47</v>
      </c>
      <c r="K457" s="2">
        <v>0</v>
      </c>
    </row>
    <row r="458" spans="1:11" x14ac:dyDescent="0.15">
      <c r="A458" s="14">
        <v>225105</v>
      </c>
      <c r="B458" s="15">
        <v>1</v>
      </c>
      <c r="C458" s="14">
        <v>225106</v>
      </c>
      <c r="D458" s="10" t="str">
        <f>"quest_name_"&amp;表1[[#This Row],[任务ID]]</f>
        <v>quest_name_225105</v>
      </c>
      <c r="E458" s="16" t="str">
        <f>VLOOKUP(表1[[#This Row],[任务名称]],[1]!表1_8[#Data],2,FALSE)</f>
        <v>在打河豚小游戏中获得10000分</v>
      </c>
      <c r="F458" s="15">
        <v>25</v>
      </c>
      <c r="G458" s="15">
        <v>1</v>
      </c>
      <c r="H458" s="15">
        <v>10000</v>
      </c>
      <c r="I458">
        <v>0</v>
      </c>
      <c r="J458" t="s">
        <v>182</v>
      </c>
      <c r="K458" s="2">
        <v>0</v>
      </c>
    </row>
    <row r="459" spans="1:11" x14ac:dyDescent="0.15">
      <c r="A459" s="14">
        <v>225106</v>
      </c>
      <c r="B459" s="15">
        <v>1</v>
      </c>
      <c r="C459" s="14">
        <v>225107</v>
      </c>
      <c r="D459" s="10" t="str">
        <f>"quest_name_"&amp;表1[[#This Row],[任务ID]]</f>
        <v>quest_name_225106</v>
      </c>
      <c r="E459" s="16" t="str">
        <f>VLOOKUP(表1[[#This Row],[任务名称]],[1]!表1_8[#Data],2,FALSE)</f>
        <v>在打河豚小游戏中获得11000分</v>
      </c>
      <c r="F459" s="15">
        <v>25</v>
      </c>
      <c r="G459" s="15">
        <v>1</v>
      </c>
      <c r="H459" s="15">
        <v>11000</v>
      </c>
      <c r="I459">
        <v>0</v>
      </c>
      <c r="J459" t="s">
        <v>183</v>
      </c>
      <c r="K459" s="2">
        <v>0</v>
      </c>
    </row>
    <row r="460" spans="1:11" x14ac:dyDescent="0.15">
      <c r="A460" s="14">
        <v>225107</v>
      </c>
      <c r="B460" s="15">
        <v>1</v>
      </c>
      <c r="C460" s="14">
        <v>225108</v>
      </c>
      <c r="D460" s="10" t="str">
        <f>"quest_name_"&amp;表1[[#This Row],[任务ID]]</f>
        <v>quest_name_225107</v>
      </c>
      <c r="E460" s="16" t="str">
        <f>VLOOKUP(表1[[#This Row],[任务名称]],[1]!表1_8[#Data],2,FALSE)</f>
        <v>在打河豚小游戏中获得12000分</v>
      </c>
      <c r="F460" s="15">
        <v>25</v>
      </c>
      <c r="G460" s="15">
        <v>1</v>
      </c>
      <c r="H460" s="15">
        <v>12000</v>
      </c>
      <c r="I460">
        <v>0</v>
      </c>
      <c r="J460" t="s">
        <v>184</v>
      </c>
      <c r="K460" s="2">
        <v>0</v>
      </c>
    </row>
    <row r="461" spans="1:11" x14ac:dyDescent="0.15">
      <c r="A461" s="14">
        <v>225108</v>
      </c>
      <c r="B461" s="15">
        <v>1</v>
      </c>
      <c r="C461" s="14">
        <v>225109</v>
      </c>
      <c r="D461" s="10" t="str">
        <f>"quest_name_"&amp;表1[[#This Row],[任务ID]]</f>
        <v>quest_name_225108</v>
      </c>
      <c r="E461" s="16" t="str">
        <f>VLOOKUP(表1[[#This Row],[任务名称]],[1]!表1_8[#Data],2,FALSE)</f>
        <v>在打河豚小游戏中获得13000分</v>
      </c>
      <c r="F461" s="15">
        <v>25</v>
      </c>
      <c r="G461" s="15">
        <v>1</v>
      </c>
      <c r="H461" s="15">
        <v>13000</v>
      </c>
      <c r="I461">
        <v>0</v>
      </c>
      <c r="J461" t="s">
        <v>185</v>
      </c>
      <c r="K461" s="2">
        <v>0</v>
      </c>
    </row>
    <row r="462" spans="1:11" x14ac:dyDescent="0.15">
      <c r="A462" s="14">
        <v>225109</v>
      </c>
      <c r="B462" s="15">
        <v>1</v>
      </c>
      <c r="C462" s="14">
        <v>0</v>
      </c>
      <c r="D462" s="10" t="str">
        <f>"quest_name_"&amp;表1[[#This Row],[任务ID]]</f>
        <v>quest_name_225109</v>
      </c>
      <c r="E462" s="16" t="str">
        <f>VLOOKUP(表1[[#This Row],[任务名称]],[1]!表1_8[#Data],2,FALSE)</f>
        <v>在打河豚小游戏中获得15000分</v>
      </c>
      <c r="F462" s="15">
        <v>25</v>
      </c>
      <c r="G462" s="15">
        <v>1</v>
      </c>
      <c r="H462" s="15">
        <v>15000</v>
      </c>
      <c r="I462">
        <v>0</v>
      </c>
      <c r="J462" t="s">
        <v>186</v>
      </c>
      <c r="K462" s="2">
        <v>0</v>
      </c>
    </row>
    <row r="463" spans="1:11" x14ac:dyDescent="0.15">
      <c r="A463" s="14">
        <v>229000</v>
      </c>
      <c r="B463" s="15">
        <v>1</v>
      </c>
      <c r="C463" s="14">
        <v>229001</v>
      </c>
      <c r="D463" s="10" t="str">
        <f>"quest_name_"&amp;表1[[#This Row],[任务ID]]</f>
        <v>quest_name_229000</v>
      </c>
      <c r="E463" s="16" t="str">
        <f>VLOOKUP(表1[[#This Row],[任务名称]],[1]!表1_8[#Data],2,FALSE)</f>
        <v>排位赛中段位达到白银5</v>
      </c>
      <c r="F463" s="15">
        <v>29</v>
      </c>
      <c r="G463" s="15">
        <v>0</v>
      </c>
      <c r="H463" s="15">
        <v>6</v>
      </c>
      <c r="I463">
        <v>0</v>
      </c>
      <c r="J463" s="7" t="s">
        <v>178</v>
      </c>
      <c r="K463" s="2">
        <v>0</v>
      </c>
    </row>
    <row r="464" spans="1:11" x14ac:dyDescent="0.15">
      <c r="A464" s="14">
        <v>229001</v>
      </c>
      <c r="B464" s="15">
        <v>1</v>
      </c>
      <c r="C464" s="14">
        <v>229002</v>
      </c>
      <c r="D464" s="10" t="str">
        <f>"quest_name_"&amp;表1[[#This Row],[任务ID]]</f>
        <v>quest_name_229001</v>
      </c>
      <c r="E464" s="16" t="str">
        <f>VLOOKUP(表1[[#This Row],[任务名称]],[1]!表1_8[#Data],2,FALSE)</f>
        <v>排位赛中段位达到白银4</v>
      </c>
      <c r="F464" s="15">
        <v>29</v>
      </c>
      <c r="G464" s="15">
        <v>0</v>
      </c>
      <c r="H464" s="15">
        <v>7</v>
      </c>
      <c r="I464">
        <v>0</v>
      </c>
      <c r="J464" t="s">
        <v>179</v>
      </c>
      <c r="K464" s="2">
        <v>0</v>
      </c>
    </row>
    <row r="465" spans="1:11" x14ac:dyDescent="0.15">
      <c r="A465" s="14">
        <v>229002</v>
      </c>
      <c r="B465" s="15">
        <v>1</v>
      </c>
      <c r="C465" s="14">
        <v>229003</v>
      </c>
      <c r="D465" s="10" t="str">
        <f>"quest_name_"&amp;表1[[#This Row],[任务ID]]</f>
        <v>quest_name_229002</v>
      </c>
      <c r="E465" s="16" t="str">
        <f>VLOOKUP(表1[[#This Row],[任务名称]],[1]!表1_8[#Data],2,FALSE)</f>
        <v>排位赛中段位达到白银3</v>
      </c>
      <c r="F465" s="15">
        <v>29</v>
      </c>
      <c r="G465" s="15">
        <v>0</v>
      </c>
      <c r="H465" s="15">
        <v>8</v>
      </c>
      <c r="I465">
        <v>0</v>
      </c>
      <c r="J465" t="s">
        <v>180</v>
      </c>
      <c r="K465" s="2">
        <v>0</v>
      </c>
    </row>
    <row r="466" spans="1:11" x14ac:dyDescent="0.15">
      <c r="A466" s="14">
        <v>229003</v>
      </c>
      <c r="B466" s="15">
        <v>1</v>
      </c>
      <c r="C466" s="14">
        <v>229004</v>
      </c>
      <c r="D466" s="10" t="str">
        <f>"quest_name_"&amp;表1[[#This Row],[任务ID]]</f>
        <v>quest_name_229003</v>
      </c>
      <c r="E466" s="16" t="str">
        <f>VLOOKUP(表1[[#This Row],[任务名称]],[1]!表1_8[#Data],2,FALSE)</f>
        <v>排位赛中段位达到白银2</v>
      </c>
      <c r="F466" s="15">
        <v>29</v>
      </c>
      <c r="G466" s="15">
        <v>0</v>
      </c>
      <c r="H466" s="15">
        <v>9</v>
      </c>
      <c r="I466">
        <v>0</v>
      </c>
      <c r="J466" t="s">
        <v>181</v>
      </c>
      <c r="K466" s="2">
        <v>0</v>
      </c>
    </row>
    <row r="467" spans="1:11" x14ac:dyDescent="0.15">
      <c r="A467" s="14">
        <v>229004</v>
      </c>
      <c r="B467" s="15">
        <v>1</v>
      </c>
      <c r="C467" s="14">
        <v>229005</v>
      </c>
      <c r="D467" s="10" t="str">
        <f>"quest_name_"&amp;表1[[#This Row],[任务ID]]</f>
        <v>quest_name_229004</v>
      </c>
      <c r="E467" s="16" t="str">
        <f>VLOOKUP(表1[[#This Row],[任务名称]],[1]!表1_8[#Data],2,FALSE)</f>
        <v>排位赛中段位达到白银1</v>
      </c>
      <c r="F467" s="15">
        <v>29</v>
      </c>
      <c r="G467" s="15">
        <v>0</v>
      </c>
      <c r="H467" s="15">
        <v>10</v>
      </c>
      <c r="I467">
        <v>0</v>
      </c>
      <c r="J467" t="s">
        <v>47</v>
      </c>
      <c r="K467" s="2">
        <v>0</v>
      </c>
    </row>
    <row r="468" spans="1:11" x14ac:dyDescent="0.15">
      <c r="A468" s="14">
        <v>229005</v>
      </c>
      <c r="B468" s="15">
        <v>1</v>
      </c>
      <c r="C468" s="14">
        <v>229006</v>
      </c>
      <c r="D468" s="10" t="str">
        <f>"quest_name_"&amp;表1[[#This Row],[任务ID]]</f>
        <v>quest_name_229005</v>
      </c>
      <c r="E468" s="16" t="str">
        <f>VLOOKUP(表1[[#This Row],[任务名称]],[1]!表1_8[#Data],2,FALSE)</f>
        <v>排位赛中段位达到黄金5</v>
      </c>
      <c r="F468" s="15">
        <v>29</v>
      </c>
      <c r="G468" s="15">
        <v>0</v>
      </c>
      <c r="H468" s="15">
        <v>11</v>
      </c>
      <c r="I468">
        <v>0</v>
      </c>
      <c r="J468" t="s">
        <v>182</v>
      </c>
      <c r="K468" s="2">
        <v>0</v>
      </c>
    </row>
    <row r="469" spans="1:11" x14ac:dyDescent="0.15">
      <c r="A469" s="14">
        <v>229006</v>
      </c>
      <c r="B469" s="15">
        <v>1</v>
      </c>
      <c r="C469" s="14">
        <v>229007</v>
      </c>
      <c r="D469" s="10" t="str">
        <f>"quest_name_"&amp;表1[[#This Row],[任务ID]]</f>
        <v>quest_name_229006</v>
      </c>
      <c r="E469" s="16" t="str">
        <f>VLOOKUP(表1[[#This Row],[任务名称]],[1]!表1_8[#Data],2,FALSE)</f>
        <v>排位赛中段位达到黄金4</v>
      </c>
      <c r="F469" s="15">
        <v>29</v>
      </c>
      <c r="G469" s="15">
        <v>0</v>
      </c>
      <c r="H469" s="15">
        <v>12</v>
      </c>
      <c r="I469">
        <v>0</v>
      </c>
      <c r="J469" t="s">
        <v>183</v>
      </c>
      <c r="K469" s="2">
        <v>0</v>
      </c>
    </row>
    <row r="470" spans="1:11" x14ac:dyDescent="0.15">
      <c r="A470" s="14">
        <v>229007</v>
      </c>
      <c r="B470" s="15">
        <v>1</v>
      </c>
      <c r="C470" s="14">
        <v>229008</v>
      </c>
      <c r="D470" s="10" t="str">
        <f>"quest_name_"&amp;表1[[#This Row],[任务ID]]</f>
        <v>quest_name_229007</v>
      </c>
      <c r="E470" s="16" t="str">
        <f>VLOOKUP(表1[[#This Row],[任务名称]],[1]!表1_8[#Data],2,FALSE)</f>
        <v>排位赛中段位达到黄金3</v>
      </c>
      <c r="F470" s="15">
        <v>29</v>
      </c>
      <c r="G470" s="15">
        <v>0</v>
      </c>
      <c r="H470" s="15">
        <v>13</v>
      </c>
      <c r="I470">
        <v>0</v>
      </c>
      <c r="J470" t="s">
        <v>184</v>
      </c>
      <c r="K470" s="2">
        <v>0</v>
      </c>
    </row>
    <row r="471" spans="1:11" x14ac:dyDescent="0.15">
      <c r="A471" s="14">
        <v>229008</v>
      </c>
      <c r="B471" s="15">
        <v>1</v>
      </c>
      <c r="C471" s="14">
        <v>229009</v>
      </c>
      <c r="D471" s="10" t="str">
        <f>"quest_name_"&amp;表1[[#This Row],[任务ID]]</f>
        <v>quest_name_229008</v>
      </c>
      <c r="E471" s="16" t="str">
        <f>VLOOKUP(表1[[#This Row],[任务名称]],[1]!表1_8[#Data],2,FALSE)</f>
        <v>排位赛中段位达到黄金2</v>
      </c>
      <c r="F471" s="15">
        <v>29</v>
      </c>
      <c r="G471" s="15">
        <v>0</v>
      </c>
      <c r="H471" s="15">
        <v>14</v>
      </c>
      <c r="I471">
        <v>0</v>
      </c>
      <c r="J471" t="s">
        <v>185</v>
      </c>
      <c r="K471" s="2">
        <v>0</v>
      </c>
    </row>
    <row r="472" spans="1:11" x14ac:dyDescent="0.15">
      <c r="A472" s="14">
        <v>229009</v>
      </c>
      <c r="B472" s="15">
        <v>1</v>
      </c>
      <c r="C472" s="14">
        <v>229010</v>
      </c>
      <c r="D472" s="10" t="str">
        <f>"quest_name_"&amp;表1[[#This Row],[任务ID]]</f>
        <v>quest_name_229009</v>
      </c>
      <c r="E472" s="16" t="str">
        <f>VLOOKUP(表1[[#This Row],[任务名称]],[1]!表1_8[#Data],2,FALSE)</f>
        <v>排位赛中段位达到黄金1</v>
      </c>
      <c r="F472" s="15">
        <v>29</v>
      </c>
      <c r="G472" s="15">
        <v>0</v>
      </c>
      <c r="H472" s="15">
        <v>15</v>
      </c>
      <c r="I472">
        <v>0</v>
      </c>
      <c r="J472" t="s">
        <v>186</v>
      </c>
      <c r="K472" s="2">
        <v>0</v>
      </c>
    </row>
    <row r="473" spans="1:11" x14ac:dyDescent="0.15">
      <c r="A473" s="14">
        <v>229010</v>
      </c>
      <c r="B473" s="15">
        <v>1</v>
      </c>
      <c r="C473" s="14">
        <v>229011</v>
      </c>
      <c r="D473" s="10" t="str">
        <f>"quest_name_"&amp;表1[[#This Row],[任务ID]]</f>
        <v>quest_name_229010</v>
      </c>
      <c r="E473" s="16" t="str">
        <f>VLOOKUP(表1[[#This Row],[任务名称]],[1]!表1_8[#Data],2,FALSE)</f>
        <v>排位赛中段位达到白金5</v>
      </c>
      <c r="F473" s="15">
        <v>29</v>
      </c>
      <c r="G473" s="15">
        <v>0</v>
      </c>
      <c r="H473" s="15">
        <v>16</v>
      </c>
      <c r="I473">
        <v>0</v>
      </c>
      <c r="J473" t="s">
        <v>187</v>
      </c>
      <c r="K473" s="2">
        <v>0</v>
      </c>
    </row>
    <row r="474" spans="1:11" x14ac:dyDescent="0.15">
      <c r="A474" s="14">
        <v>229011</v>
      </c>
      <c r="B474" s="15">
        <v>1</v>
      </c>
      <c r="C474" s="14">
        <v>229012</v>
      </c>
      <c r="D474" s="10" t="str">
        <f>"quest_name_"&amp;表1[[#This Row],[任务ID]]</f>
        <v>quest_name_229011</v>
      </c>
      <c r="E474" s="16" t="str">
        <f>VLOOKUP(表1[[#This Row],[任务名称]],[1]!表1_8[#Data],2,FALSE)</f>
        <v>排位赛中段位达到白金4</v>
      </c>
      <c r="F474" s="15">
        <v>29</v>
      </c>
      <c r="G474" s="15">
        <v>0</v>
      </c>
      <c r="H474" s="15">
        <v>17</v>
      </c>
      <c r="I474">
        <v>0</v>
      </c>
      <c r="J474" t="s">
        <v>192</v>
      </c>
      <c r="K474" s="2">
        <v>0</v>
      </c>
    </row>
    <row r="475" spans="1:11" x14ac:dyDescent="0.15">
      <c r="A475" s="14">
        <v>229012</v>
      </c>
      <c r="B475" s="15">
        <v>1</v>
      </c>
      <c r="C475" s="14">
        <v>229013</v>
      </c>
      <c r="D475" s="10" t="str">
        <f>"quest_name_"&amp;表1[[#This Row],[任务ID]]</f>
        <v>quest_name_229012</v>
      </c>
      <c r="E475" s="16" t="str">
        <f>VLOOKUP(表1[[#This Row],[任务名称]],[1]!表1_8[#Data],2,FALSE)</f>
        <v>排位赛中段位达到白金3</v>
      </c>
      <c r="F475" s="15">
        <v>29</v>
      </c>
      <c r="G475" s="15">
        <v>0</v>
      </c>
      <c r="H475" s="15">
        <v>18</v>
      </c>
      <c r="I475">
        <v>0</v>
      </c>
      <c r="J475" t="s">
        <v>286</v>
      </c>
      <c r="K475" s="2">
        <v>0</v>
      </c>
    </row>
    <row r="476" spans="1:11" x14ac:dyDescent="0.15">
      <c r="A476" s="14">
        <v>229013</v>
      </c>
      <c r="B476" s="15">
        <v>1</v>
      </c>
      <c r="C476" s="14">
        <v>229014</v>
      </c>
      <c r="D476" s="10" t="str">
        <f>"quest_name_"&amp;表1[[#This Row],[任务ID]]</f>
        <v>quest_name_229013</v>
      </c>
      <c r="E476" s="16" t="str">
        <f>VLOOKUP(表1[[#This Row],[任务名称]],[1]!表1_8[#Data],2,FALSE)</f>
        <v>排位赛中段位达到白金2</v>
      </c>
      <c r="F476" s="15">
        <v>29</v>
      </c>
      <c r="G476" s="15">
        <v>0</v>
      </c>
      <c r="H476" s="15">
        <v>19</v>
      </c>
      <c r="I476">
        <v>0</v>
      </c>
      <c r="J476" t="s">
        <v>196</v>
      </c>
      <c r="K476" s="2">
        <v>0</v>
      </c>
    </row>
    <row r="477" spans="1:11" x14ac:dyDescent="0.15">
      <c r="A477" s="14">
        <v>229014</v>
      </c>
      <c r="B477" s="15">
        <v>1</v>
      </c>
      <c r="C477" s="14">
        <v>229015</v>
      </c>
      <c r="D477" s="10" t="str">
        <f>"quest_name_"&amp;表1[[#This Row],[任务ID]]</f>
        <v>quest_name_229014</v>
      </c>
      <c r="E477" s="16" t="str">
        <f>VLOOKUP(表1[[#This Row],[任务名称]],[1]!表1_8[#Data],2,FALSE)</f>
        <v>排位赛中段位达到白金1</v>
      </c>
      <c r="F477" s="15">
        <v>29</v>
      </c>
      <c r="G477" s="15">
        <v>0</v>
      </c>
      <c r="H477" s="15">
        <v>20</v>
      </c>
      <c r="I477">
        <v>0</v>
      </c>
      <c r="J477" t="s">
        <v>194</v>
      </c>
      <c r="K477" s="2">
        <v>0</v>
      </c>
    </row>
    <row r="478" spans="1:11" x14ac:dyDescent="0.15">
      <c r="A478" s="14">
        <v>229015</v>
      </c>
      <c r="B478" s="15">
        <v>1</v>
      </c>
      <c r="C478" s="14">
        <v>229016</v>
      </c>
      <c r="D478" s="10" t="str">
        <f>"quest_name_"&amp;表1[[#This Row],[任务ID]]</f>
        <v>quest_name_229015</v>
      </c>
      <c r="E478" s="16" t="str">
        <f>VLOOKUP(表1[[#This Row],[任务名称]],[1]!表1_8[#Data],2,FALSE)</f>
        <v>排位赛中段位达到钻石5</v>
      </c>
      <c r="F478" s="15">
        <v>29</v>
      </c>
      <c r="G478" s="15">
        <v>0</v>
      </c>
      <c r="H478" s="15">
        <v>21</v>
      </c>
      <c r="I478">
        <v>0</v>
      </c>
      <c r="J478" t="s">
        <v>197</v>
      </c>
      <c r="K478" s="2">
        <v>0</v>
      </c>
    </row>
    <row r="479" spans="1:11" x14ac:dyDescent="0.15">
      <c r="A479" s="14">
        <v>229016</v>
      </c>
      <c r="B479" s="15">
        <v>1</v>
      </c>
      <c r="C479" s="14">
        <v>229017</v>
      </c>
      <c r="D479" s="10" t="str">
        <f>"quest_name_"&amp;表1[[#This Row],[任务ID]]</f>
        <v>quest_name_229016</v>
      </c>
      <c r="E479" s="16" t="str">
        <f>VLOOKUP(表1[[#This Row],[任务名称]],[1]!表1_8[#Data],2,FALSE)</f>
        <v>排位赛中段位达到钻石4</v>
      </c>
      <c r="F479" s="15">
        <v>29</v>
      </c>
      <c r="G479" s="15">
        <v>0</v>
      </c>
      <c r="H479" s="15">
        <v>22</v>
      </c>
      <c r="I479">
        <v>0</v>
      </c>
      <c r="J479" t="s">
        <v>287</v>
      </c>
      <c r="K479" s="2">
        <v>0</v>
      </c>
    </row>
    <row r="480" spans="1:11" x14ac:dyDescent="0.15">
      <c r="A480" s="14">
        <v>229017</v>
      </c>
      <c r="B480" s="15">
        <v>1</v>
      </c>
      <c r="C480" s="14">
        <v>229018</v>
      </c>
      <c r="D480" s="10" t="str">
        <f>"quest_name_"&amp;表1[[#This Row],[任务ID]]</f>
        <v>quest_name_229017</v>
      </c>
      <c r="E480" s="16" t="str">
        <f>VLOOKUP(表1[[#This Row],[任务名称]],[1]!表1_8[#Data],2,FALSE)</f>
        <v>排位赛中段位达到钻石3</v>
      </c>
      <c r="F480" s="15">
        <v>29</v>
      </c>
      <c r="G480" s="15">
        <v>0</v>
      </c>
      <c r="H480" s="15">
        <v>23</v>
      </c>
      <c r="I480">
        <v>0</v>
      </c>
      <c r="J480" t="s">
        <v>198</v>
      </c>
      <c r="K480" s="2">
        <v>0</v>
      </c>
    </row>
    <row r="481" spans="1:11" x14ac:dyDescent="0.15">
      <c r="A481" s="14">
        <v>229018</v>
      </c>
      <c r="B481" s="15">
        <v>1</v>
      </c>
      <c r="C481" s="14">
        <v>229019</v>
      </c>
      <c r="D481" s="10" t="str">
        <f>"quest_name_"&amp;表1[[#This Row],[任务ID]]</f>
        <v>quest_name_229018</v>
      </c>
      <c r="E481" s="16" t="str">
        <f>VLOOKUP(表1[[#This Row],[任务名称]],[1]!表1_8[#Data],2,FALSE)</f>
        <v>排位赛中段位达到钻石2</v>
      </c>
      <c r="F481" s="15">
        <v>29</v>
      </c>
      <c r="G481" s="15">
        <v>0</v>
      </c>
      <c r="H481" s="15">
        <v>24</v>
      </c>
      <c r="I481">
        <v>0</v>
      </c>
      <c r="J481" t="s">
        <v>288</v>
      </c>
      <c r="K481" s="2">
        <v>0</v>
      </c>
    </row>
    <row r="482" spans="1:11" x14ac:dyDescent="0.15">
      <c r="A482" s="14">
        <v>229019</v>
      </c>
      <c r="B482" s="15">
        <v>1</v>
      </c>
      <c r="C482" s="14">
        <v>229020</v>
      </c>
      <c r="D482" s="10" t="str">
        <f>"quest_name_"&amp;表1[[#This Row],[任务ID]]</f>
        <v>quest_name_229019</v>
      </c>
      <c r="E482" s="16" t="str">
        <f>VLOOKUP(表1[[#This Row],[任务名称]],[1]!表1_8[#Data],2,FALSE)</f>
        <v>排位赛中段位达到钻石1</v>
      </c>
      <c r="F482" s="15">
        <v>29</v>
      </c>
      <c r="G482" s="15">
        <v>0</v>
      </c>
      <c r="H482" s="15">
        <v>25</v>
      </c>
      <c r="I482">
        <v>0</v>
      </c>
      <c r="J482" t="s">
        <v>199</v>
      </c>
      <c r="K482" s="2">
        <v>0</v>
      </c>
    </row>
    <row r="483" spans="1:11" x14ac:dyDescent="0.15">
      <c r="A483" s="14">
        <v>229020</v>
      </c>
      <c r="B483" s="15">
        <v>1</v>
      </c>
      <c r="C483" s="14">
        <v>229021</v>
      </c>
      <c r="D483" s="10" t="str">
        <f>"quest_name_"&amp;表1[[#This Row],[任务ID]]</f>
        <v>quest_name_229020</v>
      </c>
      <c r="E483" s="16" t="str">
        <f>VLOOKUP(表1[[#This Row],[任务名称]],[1]!表1_8[#Data],2,FALSE)</f>
        <v>排位赛中段位达到十大高手</v>
      </c>
      <c r="F483" s="15">
        <v>29</v>
      </c>
      <c r="G483" s="15">
        <v>0</v>
      </c>
      <c r="H483" s="15">
        <v>26</v>
      </c>
      <c r="I483">
        <v>0</v>
      </c>
      <c r="J483" t="s">
        <v>289</v>
      </c>
      <c r="K483" s="2">
        <v>0</v>
      </c>
    </row>
    <row r="484" spans="1:11" x14ac:dyDescent="0.15">
      <c r="A484" s="14">
        <v>229021</v>
      </c>
      <c r="B484" s="15">
        <v>1</v>
      </c>
      <c r="C484" s="14">
        <v>0</v>
      </c>
      <c r="D484" s="10" t="str">
        <f>"quest_name_"&amp;表1[[#This Row],[任务ID]]</f>
        <v>quest_name_229021</v>
      </c>
      <c r="E484" s="16" t="str">
        <f>VLOOKUP(表1[[#This Row],[任务名称]],[1]!表1_8[#Data],2,FALSE)</f>
        <v>排位赛中段位达到最强王者</v>
      </c>
      <c r="F484" s="15">
        <v>29</v>
      </c>
      <c r="G484" s="15">
        <v>0</v>
      </c>
      <c r="H484" s="15">
        <v>27</v>
      </c>
      <c r="I484">
        <v>0</v>
      </c>
      <c r="J484" t="s">
        <v>200</v>
      </c>
      <c r="K484" s="2">
        <v>0</v>
      </c>
    </row>
  </sheetData>
  <phoneticPr fontId="7" type="noConversion"/>
  <conditionalFormatting sqref="C96:C110">
    <cfRule type="duplicateValues" dxfId="37" priority="36"/>
  </conditionalFormatting>
  <conditionalFormatting sqref="C112:C120">
    <cfRule type="duplicateValues" dxfId="36" priority="35"/>
  </conditionalFormatting>
  <conditionalFormatting sqref="C122:C130">
    <cfRule type="duplicateValues" dxfId="35" priority="34"/>
  </conditionalFormatting>
  <conditionalFormatting sqref="C132:C141">
    <cfRule type="duplicateValues" dxfId="34" priority="33"/>
  </conditionalFormatting>
  <conditionalFormatting sqref="C143:C152">
    <cfRule type="duplicateValues" dxfId="33" priority="32"/>
  </conditionalFormatting>
  <conditionalFormatting sqref="C154:C163">
    <cfRule type="duplicateValues" dxfId="32" priority="31"/>
  </conditionalFormatting>
  <conditionalFormatting sqref="C386:C400">
    <cfRule type="duplicateValues" dxfId="31" priority="25"/>
  </conditionalFormatting>
  <conditionalFormatting sqref="A402:A422">
    <cfRule type="duplicateValues" dxfId="30" priority="24"/>
  </conditionalFormatting>
  <conditionalFormatting sqref="C402:C421">
    <cfRule type="duplicateValues" dxfId="29" priority="23"/>
  </conditionalFormatting>
  <conditionalFormatting sqref="A418:A422">
    <cfRule type="duplicateValues" dxfId="28" priority="22"/>
  </conditionalFormatting>
  <conditionalFormatting sqref="A418:A422">
    <cfRule type="duplicateValues" dxfId="27" priority="21"/>
  </conditionalFormatting>
  <conditionalFormatting sqref="A433:A452">
    <cfRule type="duplicateValues" dxfId="26" priority="18"/>
  </conditionalFormatting>
  <conditionalFormatting sqref="C433:C451">
    <cfRule type="duplicateValues" dxfId="25" priority="17"/>
  </conditionalFormatting>
  <conditionalFormatting sqref="A448:A452">
    <cfRule type="duplicateValues" dxfId="24" priority="16"/>
  </conditionalFormatting>
  <conditionalFormatting sqref="A448:A452">
    <cfRule type="duplicateValues" dxfId="23" priority="15"/>
  </conditionalFormatting>
  <conditionalFormatting sqref="A433:A462">
    <cfRule type="duplicateValues" dxfId="22" priority="19"/>
  </conditionalFormatting>
  <conditionalFormatting sqref="A5:A484">
    <cfRule type="duplicateValues" dxfId="21" priority="40"/>
  </conditionalFormatting>
  <conditionalFormatting sqref="A463:A468">
    <cfRule type="duplicateValues" dxfId="20" priority="11"/>
  </conditionalFormatting>
  <conditionalFormatting sqref="C463:C467">
    <cfRule type="duplicateValues" dxfId="19" priority="10"/>
  </conditionalFormatting>
  <conditionalFormatting sqref="A464:A468">
    <cfRule type="duplicateValues" dxfId="18" priority="9"/>
  </conditionalFormatting>
  <conditionalFormatting sqref="A464:A468">
    <cfRule type="duplicateValues" dxfId="17" priority="8"/>
  </conditionalFormatting>
  <conditionalFormatting sqref="A463:A478">
    <cfRule type="duplicateValues" dxfId="16" priority="12"/>
  </conditionalFormatting>
  <conditionalFormatting sqref="A463:A478">
    <cfRule type="duplicateValues" dxfId="15" priority="13"/>
  </conditionalFormatting>
  <conditionalFormatting sqref="A479:A483">
    <cfRule type="duplicateValues" dxfId="14" priority="7"/>
  </conditionalFormatting>
  <conditionalFormatting sqref="A479:A483">
    <cfRule type="duplicateValues" dxfId="13" priority="5"/>
  </conditionalFormatting>
  <conditionalFormatting sqref="A479:A483">
    <cfRule type="duplicateValues" dxfId="12" priority="6"/>
  </conditionalFormatting>
  <conditionalFormatting sqref="A484">
    <cfRule type="duplicateValues" dxfId="11" priority="4"/>
  </conditionalFormatting>
  <conditionalFormatting sqref="A484">
    <cfRule type="duplicateValues" dxfId="10" priority="3"/>
  </conditionalFormatting>
  <conditionalFormatting sqref="A484">
    <cfRule type="duplicateValues" dxfId="9" priority="1"/>
  </conditionalFormatting>
  <conditionalFormatting sqref="A484">
    <cfRule type="duplicateValues" dxfId="8" priority="2"/>
  </conditionalFormatting>
  <dataValidations count="2">
    <dataValidation allowBlank="1" showInputMessage="1" showErrorMessage="1" promptTitle="点击后前往的页面，0表示不前往————————————————" prompt="multiplayer：多人模式快速开始  daily：日常任务_x000a_achievement：成就任务          timemode：限时模式_x000a_weapon：武器界面               rank：排位赛模式_x000a_freerace:自由赛模式            shop：商店界面_x000a_VIP：VIP界面                   share：分享界面" sqref="K4" xr:uid="{00000000-0002-0000-0200-000000000000}"/>
    <dataValidation allowBlank="1" showInputMessage="1" showErrorMessage="1" promptTitle="版本&quot;,&quot;分割————————————" prompt="如果是所有版本，则填ALL" sqref="B1" xr:uid="{3F4072BB-50D7-496E-856A-FDBC86901B2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2018-05-08T06:12:22Z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